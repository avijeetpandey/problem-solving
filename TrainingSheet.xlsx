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A947E149-2F4D-4566-BDF8-E0E364EFB8F9}" xr6:coauthVersionLast="45" xr6:coauthVersionMax="45" xr10:uidLastSave="{00000000-0000-0000-0000-000000000000}"/>
  <bookViews>
    <workbookView xWindow="5760" yWindow="732" windowWidth="17280" windowHeight="8964"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<sst xmlns="http://schemas.openxmlformats.org/spreadsheetml/2006/main" count="3576" uniqueCount="1837">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</sst>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4" fillId="2" borderId="0" xfId="0" applyFont="1" applyFill="1" applyAlignment="1">
      <alignment horizontal="left" vertical="center" wrapText="1"/>
    </xf>
    <xf numFmtId="0" fontId="0" fillId="0" borderId="0" xfId="0" applyFont="1" applyAlignment="1">
      <alignment wrapText="1"/>
    </xf>
    <xf numFmtId="0" fontId="6"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5" fillId="2" borderId="0" xfId="0" applyFont="1" applyFill="1" applyAlignment="1">
      <alignment wrapText="1"/>
    </xf>
    <xf numFmtId="0" fontId="9" fillId="2" borderId="0" xfId="0" applyFont="1" applyFill="1" applyAlignment="1"/>
    <xf numFmtId="0" fontId="2" fillId="0" borderId="0" xfId="0" applyFont="1" applyAlignment="1">
      <alignment wrapText="1"/>
    </xf>
    <xf numFmtId="0" fontId="17" fillId="2" borderId="0" xfId="0" applyFont="1" applyFill="1" applyAlignment="1">
      <alignment wrapText="1"/>
    </xf>
    <xf numFmtId="0" fontId="18"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19" fillId="2" borderId="0" xfId="0" applyFont="1" applyFill="1" applyAlignment="1"/>
    <xf numFmtId="0" fontId="2" fillId="0" borderId="0" xfId="0" applyFont="1" applyAlignment="1">
      <alignment horizontal="left" wrapText="1"/>
    </xf>
    <xf numFmtId="0" fontId="20"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1" fillId="3" borderId="0" xfId="0" applyFont="1" applyFill="1" applyAlignment="1">
      <alignment horizontal="left" wrapText="1"/>
    </xf>
    <xf numFmtId="0" fontId="1" fillId="12" borderId="0" xfId="0" applyFont="1" applyFill="1" applyAlignment="1">
      <alignment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alignment vertical="top" wrapText="1"/>
    </xf>
    <xf numFmtId="0" fontId="72" fillId="0" borderId="0" xfId="0" applyFont="1" applyAlignment="1">
      <alignment horizontal="left" vertical="top"/>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235" fillId="0" borderId="0" xfId="0" applyFont="1" applyAlignment="1">
      <alignment vertical="top"/>
    </xf>
    <xf numFmtId="0" fontId="236" fillId="0" borderId="0" xfId="0" applyFont="1" applyAlignment="1">
      <alignment horizontal="left"/>
    </xf>
    <xf numFmtId="0" fontId="233" fillId="0" borderId="0" xfId="0" applyFont="1" applyAlignment="1">
      <alignment horizontal="left"/>
    </xf>
    <xf numFmtId="0" fontId="139" fillId="0" borderId="0" xfId="0" applyFont="1" applyAlignment="1">
      <alignment horizontal="left" vertical="center" wrapText="1"/>
    </xf>
    <xf numFmtId="0" fontId="238" fillId="0" borderId="0" xfId="0" applyFont="1" applyAlignment="1">
      <alignment horizontal="left"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3" t="s">
        <v>0</v>
      </c>
      <c r="B1" s="464" t="s">
        <v>1</v>
      </c>
      <c r="C1" s="461"/>
      <c r="D1" s="461"/>
      <c r="E1" s="461"/>
      <c r="F1" s="461"/>
      <c r="G1" s="461"/>
      <c r="H1" s="461"/>
    </row>
    <row r="2" spans="1:8" ht="13.2">
      <c r="A2" s="461"/>
      <c r="B2" s="465" t="s">
        <v>2</v>
      </c>
      <c r="C2" s="461"/>
      <c r="D2" s="2"/>
      <c r="E2" s="3" t="str">
        <f>HYPERLINK("https://goo.gl/unDETI","Latest Version")</f>
        <v>Latest Version</v>
      </c>
      <c r="F2" s="4"/>
      <c r="G2" s="4"/>
      <c r="H2" s="4"/>
    </row>
    <row r="3" spans="1:8" ht="13.2">
      <c r="A3" s="461"/>
      <c r="B3" s="466" t="s">
        <v>3</v>
      </c>
      <c r="C3" s="461"/>
      <c r="D3" s="461"/>
      <c r="E3" s="461"/>
      <c r="F3" s="4"/>
      <c r="G3" s="4"/>
      <c r="H3" s="4"/>
    </row>
    <row r="4" spans="1:8" ht="13.2">
      <c r="A4" s="461"/>
      <c r="B4" s="464" t="s">
        <v>4</v>
      </c>
      <c r="C4" s="461"/>
      <c r="D4" s="5" t="s">
        <v>5</v>
      </c>
      <c r="E4" s="4"/>
      <c r="F4" s="4"/>
      <c r="G4" s="4"/>
      <c r="H4" s="4"/>
    </row>
    <row r="5" spans="1:8" ht="13.2">
      <c r="A5" s="461"/>
      <c r="B5" s="6"/>
      <c r="C5" s="6"/>
      <c r="D5" s="6"/>
      <c r="E5" s="6"/>
      <c r="F5" s="6"/>
      <c r="G5" s="6"/>
      <c r="H5" s="4"/>
    </row>
    <row r="6" spans="1:8" ht="13.2">
      <c r="A6" s="461"/>
      <c r="B6" s="463" t="s">
        <v>6</v>
      </c>
      <c r="C6" s="461"/>
      <c r="D6" s="461"/>
      <c r="E6" s="461"/>
      <c r="F6" s="6"/>
      <c r="G6" s="6"/>
      <c r="H6" s="4"/>
    </row>
    <row r="7" spans="1:8" ht="13.2">
      <c r="A7" s="461"/>
      <c r="B7" s="467" t="str">
        <f>HYPERLINK("https://www.youtube.com/watch?v=DZ6YTtILCE8","Video Introducing roadmap (Arabic) - to min 18 ONLY")</f>
        <v>Video Introducing roadmap (Arabic) - to min 18 ONLY</v>
      </c>
      <c r="C7" s="461"/>
      <c r="D7" s="461"/>
      <c r="E7" s="8"/>
      <c r="F7" s="6"/>
      <c r="G7" s="6"/>
      <c r="H7" s="4"/>
    </row>
    <row r="8" spans="1:8" ht="13.2">
      <c r="A8" s="461"/>
      <c r="B8" s="460" t="s">
        <v>7</v>
      </c>
      <c r="C8" s="461"/>
      <c r="D8" s="7"/>
      <c r="E8" s="8"/>
      <c r="F8" s="6"/>
      <c r="G8" s="6"/>
      <c r="H8" s="4"/>
    </row>
    <row r="9" spans="1:8" ht="13.2">
      <c r="A9" s="461"/>
      <c r="B9" s="462" t="s">
        <v>8</v>
      </c>
      <c r="C9" s="461"/>
      <c r="D9" s="461"/>
      <c r="E9" s="461"/>
      <c r="F9" s="461"/>
      <c r="G9" s="461"/>
      <c r="H9" s="4"/>
    </row>
    <row r="10" spans="1:8" ht="13.2">
      <c r="A10" s="461"/>
      <c r="B10" s="8"/>
      <c r="C10" s="8"/>
      <c r="D10" s="8"/>
      <c r="E10" s="8"/>
      <c r="F10" s="6"/>
      <c r="G10" s="6"/>
      <c r="H10" s="4"/>
    </row>
    <row r="11" spans="1:8" ht="13.2">
      <c r="A11" s="461"/>
      <c r="B11" s="462" t="s">
        <v>9</v>
      </c>
      <c r="C11" s="461"/>
      <c r="D11" s="461"/>
      <c r="E11" s="461"/>
      <c r="F11" s="461"/>
      <c r="G11" s="461"/>
      <c r="H11" s="4"/>
    </row>
    <row r="12" spans="1:8" ht="13.2">
      <c r="A12" s="9"/>
      <c r="B12" s="10"/>
      <c r="C12" s="10"/>
      <c r="D12" s="10"/>
      <c r="E12" s="10"/>
      <c r="F12" s="10"/>
      <c r="G12" s="10"/>
      <c r="H12" s="10"/>
    </row>
    <row r="13" spans="1:8" ht="13.2">
      <c r="A13" s="1" t="s">
        <v>10</v>
      </c>
      <c r="B13" s="465" t="s">
        <v>11</v>
      </c>
      <c r="C13" s="461"/>
      <c r="D13" s="461"/>
      <c r="E13" s="461"/>
      <c r="F13" s="461"/>
      <c r="G13" s="461"/>
      <c r="H13" s="461"/>
    </row>
    <row r="14" spans="1:8" ht="13.2">
      <c r="A14" s="1" t="s">
        <v>12</v>
      </c>
      <c r="B14" s="465" t="s">
        <v>13</v>
      </c>
      <c r="C14" s="461"/>
      <c r="D14" s="461"/>
      <c r="E14" s="461"/>
      <c r="F14" s="461"/>
      <c r="G14" s="461"/>
      <c r="H14" s="461"/>
    </row>
    <row r="15" spans="1:8" ht="13.2">
      <c r="A15" s="1"/>
      <c r="B15" s="11"/>
      <c r="C15" s="11"/>
      <c r="D15" s="11"/>
      <c r="E15" s="11"/>
      <c r="F15" s="11"/>
      <c r="G15" s="11"/>
      <c r="H15" s="11"/>
    </row>
    <row r="16" spans="1:8" ht="13.2">
      <c r="A16" s="1" t="s">
        <v>14</v>
      </c>
      <c r="B16" s="465" t="s">
        <v>15</v>
      </c>
      <c r="C16" s="461"/>
      <c r="D16" s="461"/>
      <c r="E16" s="461"/>
      <c r="F16" s="461"/>
      <c r="G16" s="461"/>
      <c r="H16" s="461"/>
    </row>
    <row r="17" spans="1:8" ht="13.2">
      <c r="A17" s="1"/>
      <c r="B17" s="11"/>
      <c r="C17" s="11"/>
      <c r="D17" s="11"/>
      <c r="E17" s="11"/>
      <c r="F17" s="11"/>
      <c r="G17" s="11"/>
      <c r="H17" s="11"/>
    </row>
    <row r="18" spans="1:8" ht="13.2">
      <c r="A18" s="12" t="s">
        <v>16</v>
      </c>
      <c r="B18" s="465" t="s">
        <v>17</v>
      </c>
      <c r="C18" s="461"/>
      <c r="D18" s="461"/>
      <c r="E18" s="461"/>
      <c r="F18" s="461"/>
      <c r="G18" s="461"/>
      <c r="H18" s="461"/>
    </row>
    <row r="19" spans="1:8" ht="13.2">
      <c r="A19" s="13" t="s">
        <v>18</v>
      </c>
      <c r="B19" s="465" t="s">
        <v>19</v>
      </c>
      <c r="C19" s="461"/>
      <c r="D19" s="461"/>
      <c r="E19" s="461"/>
      <c r="F19" s="461"/>
      <c r="G19" s="461"/>
      <c r="H19" s="461"/>
    </row>
    <row r="20" spans="1:8" ht="13.2">
      <c r="A20" s="14"/>
      <c r="B20" s="15"/>
      <c r="C20" s="15"/>
      <c r="D20" s="7"/>
      <c r="E20" s="11"/>
      <c r="F20" s="11"/>
      <c r="G20" s="11"/>
      <c r="H20" s="16"/>
    </row>
    <row r="21" spans="1:8" ht="13.2">
      <c r="A21" s="473" t="s">
        <v>20</v>
      </c>
      <c r="B21" s="465" t="s">
        <v>21</v>
      </c>
      <c r="C21" s="461"/>
      <c r="D21" s="461"/>
      <c r="E21" s="17" t="s">
        <v>22</v>
      </c>
      <c r="F21" s="17" t="s">
        <v>23</v>
      </c>
      <c r="G21" s="11"/>
      <c r="H21" s="16"/>
    </row>
    <row r="22" spans="1:8" ht="13.2">
      <c r="A22" s="461"/>
      <c r="B22" s="468" t="s">
        <v>24</v>
      </c>
      <c r="C22" s="461"/>
      <c r="D22" s="461"/>
      <c r="E22" s="461"/>
      <c r="F22" s="461"/>
      <c r="G22" s="461"/>
      <c r="H22" s="16"/>
    </row>
    <row r="23" spans="1:8" ht="13.2">
      <c r="A23" s="461"/>
      <c r="B23" s="465" t="s">
        <v>25</v>
      </c>
      <c r="C23" s="461"/>
      <c r="D23" s="461"/>
      <c r="E23" s="461"/>
      <c r="F23" s="461"/>
      <c r="G23" s="11"/>
      <c r="H23" s="16"/>
    </row>
    <row r="24" spans="1:8" ht="13.2">
      <c r="A24" s="18"/>
      <c r="B24" s="19"/>
      <c r="C24" s="19"/>
      <c r="D24" s="19"/>
      <c r="E24" s="19"/>
      <c r="F24" s="19"/>
      <c r="G24" s="19"/>
      <c r="H24" s="19"/>
    </row>
    <row r="25" spans="1:8" ht="13.2">
      <c r="A25" s="13" t="s">
        <v>26</v>
      </c>
      <c r="B25" s="465" t="s">
        <v>27</v>
      </c>
      <c r="C25" s="461"/>
      <c r="D25" s="461"/>
      <c r="E25" s="461"/>
      <c r="F25" s="461"/>
      <c r="G25" s="461"/>
      <c r="H25" s="461"/>
    </row>
    <row r="26" spans="1:8" ht="13.2">
      <c r="A26" s="13" t="s">
        <v>28</v>
      </c>
      <c r="B26" s="465" t="s">
        <v>29</v>
      </c>
      <c r="C26" s="461"/>
      <c r="D26" s="461"/>
      <c r="E26" s="461"/>
      <c r="F26" s="461"/>
      <c r="G26" s="461"/>
      <c r="H26" s="461"/>
    </row>
    <row r="27" spans="1:8" ht="13.2">
      <c r="A27" s="18"/>
      <c r="B27" s="19"/>
      <c r="C27" s="19"/>
      <c r="D27" s="19"/>
      <c r="E27" s="19"/>
      <c r="F27" s="19"/>
      <c r="G27" s="19"/>
      <c r="H27" s="19"/>
    </row>
    <row r="28" spans="1:8" ht="13.2">
      <c r="A28" s="463" t="s">
        <v>30</v>
      </c>
      <c r="B28" s="465" t="s">
        <v>31</v>
      </c>
      <c r="C28" s="461"/>
      <c r="D28" s="461"/>
      <c r="E28" s="461"/>
      <c r="F28" s="461"/>
      <c r="G28" s="461"/>
      <c r="H28" s="461"/>
    </row>
    <row r="29" spans="1:8" ht="13.2">
      <c r="A29" s="461"/>
      <c r="B29" s="465" t="s">
        <v>32</v>
      </c>
      <c r="C29" s="461"/>
      <c r="D29" s="461"/>
      <c r="E29" s="461"/>
      <c r="F29" s="461"/>
      <c r="G29" s="461"/>
      <c r="H29" s="461"/>
    </row>
    <row r="30" spans="1:8" ht="13.2">
      <c r="A30" s="461"/>
      <c r="B30" s="465" t="s">
        <v>33</v>
      </c>
      <c r="C30" s="461"/>
      <c r="D30" s="461"/>
      <c r="E30" s="461"/>
      <c r="F30" s="461"/>
      <c r="G30" s="461"/>
      <c r="H30" s="461"/>
    </row>
    <row r="31" spans="1:8" ht="13.2">
      <c r="A31" s="461"/>
      <c r="B31" s="465" t="s">
        <v>34</v>
      </c>
      <c r="C31" s="461"/>
      <c r="D31" s="461"/>
      <c r="E31" s="461"/>
      <c r="F31" s="461"/>
      <c r="G31" s="461"/>
      <c r="H31" s="461"/>
    </row>
    <row r="32" spans="1:8" ht="13.2">
      <c r="A32" s="461"/>
      <c r="B32" s="465" t="s">
        <v>35</v>
      </c>
      <c r="C32" s="461"/>
      <c r="D32" s="461"/>
      <c r="E32" s="461"/>
      <c r="F32" s="461"/>
      <c r="G32" s="461"/>
      <c r="H32" s="461"/>
    </row>
    <row r="33" spans="1:8" ht="13.2">
      <c r="A33" s="461"/>
      <c r="B33" s="465" t="s">
        <v>36</v>
      </c>
      <c r="C33" s="461"/>
      <c r="D33" s="461"/>
      <c r="E33" s="461"/>
      <c r="F33" s="461"/>
      <c r="G33" s="461"/>
      <c r="H33" s="461"/>
    </row>
    <row r="34" spans="1:8" ht="13.2">
      <c r="A34" s="461"/>
      <c r="B34" s="465"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2" t="s">
        <v>40</v>
      </c>
      <c r="F35" s="461"/>
      <c r="G35" s="461"/>
      <c r="H35" s="461"/>
    </row>
    <row r="36" spans="1:8" ht="13.2">
      <c r="A36" s="461"/>
      <c r="B36" s="465" t="s">
        <v>41</v>
      </c>
      <c r="C36" s="461"/>
      <c r="D36" s="461"/>
      <c r="E36" s="461"/>
      <c r="F36" s="461"/>
      <c r="G36" s="461"/>
      <c r="H36" s="461"/>
    </row>
    <row r="37" spans="1:8" ht="13.2">
      <c r="A37" s="461"/>
      <c r="B37" s="465" t="s">
        <v>42</v>
      </c>
      <c r="C37" s="461"/>
      <c r="D37" s="461"/>
      <c r="E37" s="461"/>
      <c r="F37" s="461"/>
      <c r="G37" s="461"/>
      <c r="H37" s="461"/>
    </row>
    <row r="38" spans="1:8" ht="13.2">
      <c r="A38" s="461"/>
      <c r="B38" s="465" t="s">
        <v>43</v>
      </c>
      <c r="C38" s="461"/>
      <c r="D38" s="461"/>
      <c r="E38" s="461"/>
      <c r="F38" s="461"/>
      <c r="G38" s="461"/>
      <c r="H38" s="461"/>
    </row>
    <row r="39" spans="1:8" ht="13.2">
      <c r="A39" s="18"/>
      <c r="B39" s="19"/>
      <c r="C39" s="19"/>
      <c r="D39" s="19"/>
      <c r="E39" s="19"/>
      <c r="F39" s="19"/>
      <c r="G39" s="19"/>
      <c r="H39" s="19"/>
    </row>
    <row r="40" spans="1:8" ht="13.2">
      <c r="A40" s="22" t="s">
        <v>44</v>
      </c>
      <c r="B40" s="465" t="s">
        <v>45</v>
      </c>
      <c r="C40" s="461"/>
      <c r="D40" s="461"/>
      <c r="E40" s="461"/>
      <c r="F40" s="461"/>
      <c r="G40" s="461"/>
      <c r="H40" s="461"/>
    </row>
    <row r="41" spans="1:8" ht="13.2">
      <c r="A41" s="18"/>
      <c r="B41" s="19"/>
      <c r="C41" s="19"/>
      <c r="D41" s="19"/>
      <c r="E41" s="19"/>
      <c r="F41" s="19"/>
      <c r="G41" s="19"/>
      <c r="H41" s="19"/>
    </row>
    <row r="42" spans="1:8" ht="13.2">
      <c r="A42" s="463" t="s">
        <v>46</v>
      </c>
      <c r="B42" s="23" t="str">
        <f>HYPERLINK("http://codeforces.com/contest/136/problem/A","CF136-D2-A")</f>
        <v>CF136-D2-A</v>
      </c>
      <c r="C42" s="465" t="s">
        <v>47</v>
      </c>
      <c r="D42" s="461"/>
      <c r="E42" s="461"/>
      <c r="F42" s="461"/>
      <c r="G42" s="461"/>
      <c r="H42" s="461"/>
    </row>
    <row r="43" spans="1:8" ht="13.2">
      <c r="A43" s="461"/>
      <c r="B43" s="11" t="s">
        <v>48</v>
      </c>
      <c r="C43" s="465" t="s">
        <v>49</v>
      </c>
      <c r="D43" s="461"/>
      <c r="E43" s="461"/>
      <c r="F43" s="461"/>
      <c r="G43" s="461"/>
      <c r="H43" s="461"/>
    </row>
    <row r="44" spans="1:8" ht="13.2">
      <c r="A44" s="18"/>
      <c r="B44" s="474" t="s">
        <v>50</v>
      </c>
      <c r="C44" s="475"/>
      <c r="D44" s="475"/>
      <c r="E44" s="475"/>
      <c r="F44" s="475"/>
      <c r="G44" s="475"/>
      <c r="H44" s="476"/>
    </row>
    <row r="45" spans="1:8" ht="13.2">
      <c r="A45" s="18"/>
      <c r="B45" s="19"/>
      <c r="C45" s="19"/>
      <c r="D45" s="19"/>
      <c r="E45" s="19"/>
      <c r="F45" s="19"/>
      <c r="G45" s="19"/>
      <c r="H45" s="19"/>
    </row>
    <row r="46" spans="1:8" ht="13.2">
      <c r="A46" s="463"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3" t="s">
        <v>60</v>
      </c>
      <c r="B55" s="470" t="str">
        <f>HYPERLINK("https://github.com/lnishan/awesome-competitive-programming","Awesome Competitive Programming")</f>
        <v>Awesome Competitive Programming</v>
      </c>
      <c r="C55" s="461"/>
      <c r="D55" s="465" t="s">
        <v>61</v>
      </c>
      <c r="E55" s="461"/>
      <c r="F55" s="461"/>
      <c r="G55" s="461"/>
      <c r="H55" s="461"/>
    </row>
    <row r="56" spans="1:8" ht="13.2">
      <c r="A56" s="461"/>
      <c r="B56" s="470" t="str">
        <f>HYPERLINK("https://github.com/AhmadElsagheer/Competitive-programming-library/tree/master/curriculum","Ahmed Elsaghir Trainnig")</f>
        <v>Ahmed Elsaghir Trainnig</v>
      </c>
      <c r="C56" s="461"/>
      <c r="D56" s="465" t="s">
        <v>62</v>
      </c>
      <c r="E56" s="461"/>
      <c r="F56" s="461"/>
      <c r="G56" s="461"/>
      <c r="H56" s="461"/>
    </row>
    <row r="57" spans="1:8" ht="13.2">
      <c r="A57" s="461"/>
      <c r="B57" s="470" t="str">
        <f>HYPERLINK("https://a2oj.com/ladders","A2oj Ladders")</f>
        <v>A2oj Ladders</v>
      </c>
      <c r="C57" s="461"/>
      <c r="D57" s="465" t="s">
        <v>63</v>
      </c>
      <c r="E57" s="461"/>
      <c r="F57" s="461"/>
      <c r="G57" s="461"/>
      <c r="H57" s="461"/>
    </row>
    <row r="58" spans="1:8" ht="13.2">
      <c r="A58" s="461"/>
      <c r="B58" s="471" t="str">
        <f>HYPERLINK("https://www.youtube.com/watch?v=mUSajNUEWxg&amp;list=PLb7yniFBnvZIdfxYIKqNlGsTf5oZy4dKk","Prgramming Ahmed M sayd")</f>
        <v>Prgramming Ahmed M sayd</v>
      </c>
      <c r="C58" s="461"/>
      <c r="D58" s="465" t="s">
        <v>64</v>
      </c>
      <c r="E58" s="461"/>
      <c r="F58" s="461"/>
      <c r="G58" s="461"/>
      <c r="H58" s="461"/>
    </row>
    <row r="59" spans="1:8" ht="13.2">
      <c r="A59" s="461"/>
      <c r="B59" s="477" t="s">
        <v>65</v>
      </c>
      <c r="C59" s="461"/>
      <c r="D59" s="465" t="s">
        <v>64</v>
      </c>
      <c r="E59" s="461"/>
      <c r="F59" s="461"/>
      <c r="G59" s="461"/>
      <c r="H59" s="461"/>
    </row>
    <row r="60" spans="1:8" ht="13.2">
      <c r="A60" s="461"/>
      <c r="B60" s="30" t="str">
        <f>HYPERLINK("https://www.youtube.com/playlist?list=PLPt2dINI2MIZi6jW3pFvP9AHDsNi5XlD1","More Resources")</f>
        <v>More Resources</v>
      </c>
      <c r="C60" s="31"/>
      <c r="D60" s="465" t="s">
        <v>66</v>
      </c>
      <c r="E60" s="461"/>
      <c r="F60" s="461"/>
      <c r="G60" s="461"/>
      <c r="H60" s="461"/>
    </row>
    <row r="61" spans="1:8" ht="13.2">
      <c r="A61" s="18"/>
      <c r="B61" s="32"/>
      <c r="C61" s="32"/>
      <c r="D61" s="32"/>
      <c r="E61" s="32"/>
      <c r="F61" s="32"/>
      <c r="G61" s="32"/>
      <c r="H61" s="32"/>
    </row>
    <row r="62" spans="1:8" ht="13.2">
      <c r="A62" s="463" t="s">
        <v>67</v>
      </c>
      <c r="B62" s="479" t="s">
        <v>68</v>
      </c>
      <c r="C62" s="461"/>
      <c r="D62" s="461"/>
      <c r="E62" s="461"/>
      <c r="F62" s="461"/>
      <c r="G62" s="461"/>
      <c r="H62" s="461"/>
    </row>
    <row r="63" spans="1:8" ht="13.2">
      <c r="A63" s="461"/>
      <c r="B63" s="479" t="s">
        <v>69</v>
      </c>
      <c r="C63" s="461"/>
      <c r="D63" s="461"/>
      <c r="E63" s="461"/>
      <c r="F63" s="461"/>
      <c r="G63" s="461"/>
      <c r="H63" s="461"/>
    </row>
    <row r="64" spans="1:8" ht="13.2">
      <c r="A64" s="461"/>
      <c r="B64" s="465" t="s">
        <v>70</v>
      </c>
      <c r="C64" s="461"/>
      <c r="D64" s="461"/>
      <c r="E64" s="461"/>
      <c r="F64" s="461"/>
      <c r="G64" s="461"/>
      <c r="H64" s="461"/>
    </row>
    <row r="65" spans="1:8" ht="13.2">
      <c r="A65" s="461"/>
      <c r="B65" s="465" t="s">
        <v>71</v>
      </c>
      <c r="C65" s="461"/>
      <c r="D65" s="461"/>
      <c r="E65" s="461"/>
      <c r="F65" s="461"/>
      <c r="G65" s="461"/>
      <c r="H65" s="461"/>
    </row>
    <row r="66" spans="1:8" ht="13.2">
      <c r="A66" s="461"/>
      <c r="B66" s="33" t="s">
        <v>72</v>
      </c>
      <c r="C66" s="11"/>
      <c r="D66" s="11"/>
      <c r="E66" s="11"/>
      <c r="F66" s="11"/>
      <c r="G66" s="11"/>
      <c r="H66" s="11"/>
    </row>
    <row r="67" spans="1:8" ht="13.2">
      <c r="A67" s="461"/>
      <c r="B67" s="465" t="s">
        <v>73</v>
      </c>
      <c r="C67" s="461"/>
      <c r="D67" s="461"/>
      <c r="E67" s="461"/>
      <c r="F67" s="461"/>
      <c r="G67" s="461"/>
      <c r="H67" s="461"/>
    </row>
    <row r="68" spans="1:8" ht="13.2">
      <c r="A68" s="461"/>
      <c r="B68" s="465"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78" t="s">
        <v>75</v>
      </c>
      <c r="B71" s="461"/>
      <c r="C71" s="461"/>
      <c r="D71" s="461"/>
      <c r="E71" s="461"/>
      <c r="F71" s="461"/>
      <c r="G71" s="461"/>
      <c r="H71" s="461"/>
    </row>
    <row r="72" spans="1:8" ht="13.2">
      <c r="A72" s="478" t="s">
        <v>76</v>
      </c>
      <c r="B72" s="461"/>
      <c r="C72" s="461"/>
      <c r="D72" s="461"/>
      <c r="E72" s="461"/>
      <c r="F72" s="461"/>
      <c r="G72" s="461"/>
      <c r="H72" s="461"/>
    </row>
    <row r="73" spans="1:8" ht="13.2">
      <c r="A73" s="478" t="s">
        <v>77</v>
      </c>
      <c r="B73" s="461"/>
      <c r="C73" s="461"/>
      <c r="D73" s="461"/>
      <c r="E73" s="461"/>
      <c r="F73" s="461"/>
      <c r="G73" s="461"/>
      <c r="H73" s="461"/>
    </row>
  </sheetData>
  <mergeCells count="67">
    <mergeCell ref="A62:A68"/>
    <mergeCell ref="A71:H71"/>
    <mergeCell ref="A72:H72"/>
    <mergeCell ref="A73:H73"/>
    <mergeCell ref="D60:H60"/>
    <mergeCell ref="B62:H62"/>
    <mergeCell ref="B63:H63"/>
    <mergeCell ref="B64:H64"/>
    <mergeCell ref="B65:H65"/>
    <mergeCell ref="B67:H67"/>
    <mergeCell ref="B68:H68"/>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D59:H59"/>
    <mergeCell ref="C49:H49"/>
    <mergeCell ref="B51:H51"/>
    <mergeCell ref="B53:H53"/>
    <mergeCell ref="B38:H38"/>
    <mergeCell ref="B40:H40"/>
    <mergeCell ref="B57:C57"/>
    <mergeCell ref="B58:C58"/>
    <mergeCell ref="B22:G22"/>
    <mergeCell ref="B11:G11"/>
    <mergeCell ref="B13:H13"/>
    <mergeCell ref="B14:H14"/>
    <mergeCell ref="B16:H16"/>
    <mergeCell ref="B18:H18"/>
    <mergeCell ref="B19:H19"/>
    <mergeCell ref="B8:C8"/>
    <mergeCell ref="B9:G9"/>
    <mergeCell ref="A1:A11"/>
    <mergeCell ref="B1:H1"/>
    <mergeCell ref="B2:C2"/>
    <mergeCell ref="B3:E3"/>
    <mergeCell ref="B4:C4"/>
    <mergeCell ref="B6:E6"/>
    <mergeCell ref="B7:D7"/>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213" activePane="bottomLeft" state="frozen"/>
      <selection pane="bottomLeft" activeCell="C146" sqref="C146"/>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30</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t="s">
        <v>151</v>
      </c>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t="s">
        <v>151</v>
      </c>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t="s">
        <v>151</v>
      </c>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484" t="s">
        <v>1214</v>
      </c>
      <c r="D3" s="461"/>
      <c r="E3" s="461"/>
      <c r="F3" s="461"/>
      <c r="G3" s="461"/>
      <c r="H3" s="461"/>
      <c r="I3" s="461"/>
      <c r="J3" s="461"/>
      <c r="K3" s="461"/>
      <c r="L3" s="461"/>
      <c r="M3" s="461"/>
      <c r="N3" s="259"/>
      <c r="O3" s="259"/>
      <c r="P3" s="383"/>
    </row>
    <row r="4" spans="1:17" ht="13.2">
      <c r="A4" s="83"/>
      <c r="B4" s="83"/>
      <c r="C4" s="484" t="s">
        <v>1215</v>
      </c>
      <c r="D4" s="461"/>
      <c r="E4" s="461"/>
      <c r="F4" s="461"/>
      <c r="G4" s="461"/>
      <c r="H4" s="461"/>
      <c r="I4" s="461"/>
      <c r="J4" s="461"/>
      <c r="K4" s="461"/>
      <c r="L4" s="461"/>
      <c r="M4" s="461"/>
      <c r="N4" s="259"/>
      <c r="O4" s="259"/>
      <c r="P4" s="383"/>
    </row>
    <row r="5" spans="1:17" ht="13.2">
      <c r="A5" s="83"/>
      <c r="B5" s="83"/>
      <c r="C5" s="484"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485" t="s">
        <v>1772</v>
      </c>
      <c r="H903" s="461"/>
      <c r="I903" s="461"/>
      <c r="J903" s="461"/>
      <c r="K903" s="485" t="s">
        <v>1773</v>
      </c>
      <c r="L903" s="461"/>
      <c r="M903" s="485" t="s">
        <v>1774</v>
      </c>
      <c r="N903" s="461"/>
      <c r="O903" s="433"/>
      <c r="P903" s="434"/>
      <c r="Q903" s="26"/>
    </row>
    <row r="904" spans="1:17" ht="13.2">
      <c r="A904" s="488" t="s">
        <v>1775</v>
      </c>
      <c r="B904" s="461"/>
      <c r="C904" s="29"/>
      <c r="D904" s="29"/>
      <c r="E904" s="29"/>
      <c r="F904" s="29"/>
      <c r="G904" s="435"/>
      <c r="H904" s="401"/>
      <c r="I904" s="436"/>
      <c r="K904" s="35">
        <v>1</v>
      </c>
      <c r="L904" s="35"/>
      <c r="M904" s="491"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2"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1"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3"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494"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494"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495"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495"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2"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2"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1"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86"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86"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487"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9"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98"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9"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9"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0"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6"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86"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86"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86"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86"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86"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7"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86"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86"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86"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9"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86"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98"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99"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500"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501"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501"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501"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98"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99"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99"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502"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503"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504"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99"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99" t="str">
        <f>HYPERLINK("https://www.youtube.com/watch?v=xVMe4JSEQo0&amp;index=14&amp;list=PLPt2dINI2MIb4OXlJ_EEwIDV9WVUpRQ5K","Watch - Graph Theory - SCC (2 vid)")</f>
        <v>Watch - Graph Theory - SCC (2 vid)</v>
      </c>
      <c r="N981" s="461"/>
      <c r="O981" s="165"/>
      <c r="P981" s="165"/>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2020-10-03T20:05:10Z</dcterms:modified>
</cp:coreProperties>
</file>
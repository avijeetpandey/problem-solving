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127"/>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765386DF-BB76-46D0-848F-35957A23A405}"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I2" i="3"/>
  <c r="H2" i="3"/>
  <c r="F2" i="3"/>
  <c r="E2" i="3"/>
  <c r="D2" i="3"/>
  <c r="C2" i="3"/>
  <c r="G2" i="3" s="1"/>
  <c r="B60" i="1"/>
  <c r="B58" i="1"/>
  <c r="B57" i="1"/>
  <c r="B56" i="1"/>
  <c r="B55" i="1"/>
  <c r="B49" i="1"/>
  <c r="B48" i="1"/>
  <c r="B47" i="1"/>
  <c r="B46" i="1"/>
  <c r="B42" i="1"/>
  <c r="B35" i="1"/>
  <c r="B7" i="1"/>
  <c r="E2" i="1"/>
  <c r="F2" i="5" l="1"/>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<sst xmlns="http://schemas.openxmlformats.org/spreadsheetml/2006/main" count="3549" uniqueCount="1836">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</sst>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x14ac:knownFonts="1">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4" fillId="2" borderId="0" xfId="0" applyFont="1" applyFill="1" applyAlignment="1">
      <alignment horizontal="left" vertical="center" wrapText="1"/>
    </xf>
    <xf numFmtId="0" fontId="0" fillId="0" borderId="0" xfId="0" applyFont="1" applyAlignment="1">
      <alignment wrapText="1"/>
    </xf>
    <xf numFmtId="0" fontId="6"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5" fillId="2" borderId="0" xfId="0" applyFont="1" applyFill="1" applyAlignment="1">
      <alignment wrapText="1"/>
    </xf>
    <xf numFmtId="0" fontId="9" fillId="2" borderId="0" xfId="0" applyFont="1" applyFill="1" applyAlignment="1"/>
    <xf numFmtId="0" fontId="7" fillId="2" borderId="0" xfId="0" applyFont="1" applyFill="1" applyAlignment="1">
      <alignment horizontal="left" vertical="center" wrapText="1"/>
    </xf>
    <xf numFmtId="0" fontId="2" fillId="2" borderId="0" xfId="0" applyFont="1" applyFill="1" applyAlignment="1">
      <alignment horizontal="center" wrapText="1"/>
    </xf>
    <xf numFmtId="0" fontId="19" fillId="2" borderId="0" xfId="0" applyFont="1" applyFill="1" applyAlignment="1"/>
    <xf numFmtId="0" fontId="2" fillId="0" borderId="0" xfId="0" applyFont="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17" fillId="2" borderId="0" xfId="0" applyFont="1" applyFill="1" applyAlignment="1">
      <alignment wrapText="1"/>
    </xf>
    <xf numFmtId="0" fontId="18" fillId="2" borderId="0" xfId="0" applyFont="1" applyFill="1" applyAlignment="1"/>
    <xf numFmtId="0" fontId="2" fillId="0" borderId="0" xfId="0" applyFont="1" applyAlignment="1">
      <alignment horizontal="left" wrapText="1"/>
    </xf>
    <xf numFmtId="0" fontId="20"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1" fillId="3" borderId="0" xfId="0" applyFont="1" applyFill="1" applyAlignment="1">
      <alignment horizontal="left" wrapText="1"/>
    </xf>
    <xf numFmtId="0" fontId="1" fillId="12" borderId="0" xfId="0" applyFont="1" applyFill="1" applyAlignment="1">
      <alignment wrapText="1"/>
    </xf>
    <xf numFmtId="0" fontId="2" fillId="0" borderId="0" xfId="0" applyFont="1" applyAlignment="1">
      <alignment vertical="top" wrapText="1"/>
    </xf>
    <xf numFmtId="0" fontId="72" fillId="0" borderId="0" xfId="0" applyFont="1" applyAlignment="1">
      <alignment horizontal="left" vertical="top"/>
    </xf>
    <xf numFmtId="0" fontId="43" fillId="0" borderId="0" xfId="0" applyFont="1" applyAlignment="1"/>
    <xf numFmtId="0" fontId="235" fillId="0" borderId="0" xfId="0" applyFont="1" applyAlignment="1">
      <alignment vertical="top"/>
    </xf>
    <xf numFmtId="0" fontId="68" fillId="0" borderId="0" xfId="0" applyFont="1" applyAlignment="1">
      <alignment horizontal="left" vertical="top"/>
    </xf>
    <xf numFmtId="0" fontId="236" fillId="0" borderId="0" xfId="0" applyFont="1" applyAlignment="1">
      <alignment horizontal="left"/>
    </xf>
    <xf numFmtId="0" fontId="233" fillId="0" borderId="0" xfId="0" applyFont="1" applyAlignment="1">
      <alignment horizontal="left"/>
    </xf>
    <xf numFmtId="0" fontId="139" fillId="0" borderId="0" xfId="0" applyFont="1" applyAlignment="1">
      <alignment horizontal="left" vertical="center" wrapText="1"/>
    </xf>
    <xf numFmtId="0" fontId="238" fillId="0" borderId="0" xfId="0" applyFont="1" applyAlignment="1">
      <alignment horizontal="left"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x14ac:dyDescent="0.25"/>
  <cols>
    <col min="1" max="1" width="26" customWidth="1"/>
    <col min="7" max="7" width="18.5546875" customWidth="1"/>
    <col min="8" max="8" width="24.6640625" customWidth="1"/>
  </cols>
  <sheetData>
    <row r="1" spans="1:8" ht="13.2" x14ac:dyDescent="0.25">
      <c r="A1" s="463" t="s">
        <v>0</v>
      </c>
      <c r="B1" s="464" t="s">
        <v>1</v>
      </c>
      <c r="C1" s="461"/>
      <c r="D1" s="461"/>
      <c r="E1" s="461"/>
      <c r="F1" s="461"/>
      <c r="G1" s="461"/>
      <c r="H1" s="461"/>
    </row>
    <row r="2" spans="1:8" ht="13.2" x14ac:dyDescent="0.25">
      <c r="A2" s="461"/>
      <c r="B2" s="465" t="s">
        <v>2</v>
      </c>
      <c r="C2" s="461"/>
      <c r="D2" s="2"/>
      <c r="E2" s="3" t="str">
        <f>HYPERLINK("https://goo.gl/unDETI","Latest Version")</f>
        <v>Latest Version</v>
      </c>
      <c r="F2" s="4"/>
      <c r="G2" s="4"/>
      <c r="H2" s="4"/>
    </row>
    <row r="3" spans="1:8" ht="13.2" x14ac:dyDescent="0.25">
      <c r="A3" s="461"/>
      <c r="B3" s="466" t="s">
        <v>3</v>
      </c>
      <c r="C3" s="461"/>
      <c r="D3" s="461"/>
      <c r="E3" s="461"/>
      <c r="F3" s="4"/>
      <c r="G3" s="4"/>
      <c r="H3" s="4"/>
    </row>
    <row r="4" spans="1:8" ht="13.2" x14ac:dyDescent="0.25">
      <c r="A4" s="461"/>
      <c r="B4" s="464" t="s">
        <v>4</v>
      </c>
      <c r="C4" s="461"/>
      <c r="D4" s="5" t="s">
        <v>5</v>
      </c>
      <c r="E4" s="4"/>
      <c r="F4" s="4"/>
      <c r="G4" s="4"/>
      <c r="H4" s="4"/>
    </row>
    <row r="5" spans="1:8" ht="13.2" x14ac:dyDescent="0.25">
      <c r="A5" s="461"/>
      <c r="B5" s="6"/>
      <c r="C5" s="6"/>
      <c r="D5" s="6"/>
      <c r="E5" s="6"/>
      <c r="F5" s="6"/>
      <c r="G5" s="6"/>
      <c r="H5" s="4"/>
    </row>
    <row r="6" spans="1:8" ht="13.2" x14ac:dyDescent="0.25">
      <c r="A6" s="461"/>
      <c r="B6" s="463" t="s">
        <v>6</v>
      </c>
      <c r="C6" s="461"/>
      <c r="D6" s="461"/>
      <c r="E6" s="461"/>
      <c r="F6" s="6"/>
      <c r="G6" s="6"/>
      <c r="H6" s="4"/>
    </row>
    <row r="7" spans="1:8" ht="13.2" x14ac:dyDescent="0.25">
      <c r="A7" s="461"/>
      <c r="B7" s="467" t="str">
        <f>HYPERLINK("https://www.youtube.com/watch?v=DZ6YTtILCE8","Video Introducing roadmap (Arabic) - to min 18 ONLY")</f>
        <v>Video Introducing roadmap (Arabic) - to min 18 ONLY</v>
      </c>
      <c r="C7" s="461"/>
      <c r="D7" s="461"/>
      <c r="E7" s="8"/>
      <c r="F7" s="6"/>
      <c r="G7" s="6"/>
      <c r="H7" s="4"/>
    </row>
    <row r="8" spans="1:8" ht="13.2" x14ac:dyDescent="0.25">
      <c r="A8" s="461"/>
      <c r="B8" s="460" t="s">
        <v>7</v>
      </c>
      <c r="C8" s="461"/>
      <c r="D8" s="7"/>
      <c r="E8" s="8"/>
      <c r="F8" s="6"/>
      <c r="G8" s="6"/>
      <c r="H8" s="4"/>
    </row>
    <row r="9" spans="1:8" ht="13.2" x14ac:dyDescent="0.25">
      <c r="A9" s="461"/>
      <c r="B9" s="462" t="s">
        <v>8</v>
      </c>
      <c r="C9" s="461"/>
      <c r="D9" s="461"/>
      <c r="E9" s="461"/>
      <c r="F9" s="461"/>
      <c r="G9" s="461"/>
      <c r="H9" s="4"/>
    </row>
    <row r="10" spans="1:8" ht="13.2" x14ac:dyDescent="0.25">
      <c r="A10" s="461"/>
      <c r="B10" s="8"/>
      <c r="C10" s="8"/>
      <c r="D10" s="8"/>
      <c r="E10" s="8"/>
      <c r="F10" s="6"/>
      <c r="G10" s="6"/>
      <c r="H10" s="4"/>
    </row>
    <row r="11" spans="1:8" ht="13.2" x14ac:dyDescent="0.25">
      <c r="A11" s="461"/>
      <c r="B11" s="462" t="s">
        <v>9</v>
      </c>
      <c r="C11" s="461"/>
      <c r="D11" s="461"/>
      <c r="E11" s="461"/>
      <c r="F11" s="461"/>
      <c r="G11" s="461"/>
      <c r="H11" s="4"/>
    </row>
    <row r="12" spans="1:8" ht="13.2" x14ac:dyDescent="0.25">
      <c r="A12" s="9"/>
      <c r="B12" s="10"/>
      <c r="C12" s="10"/>
      <c r="D12" s="10"/>
      <c r="E12" s="10"/>
      <c r="F12" s="10"/>
      <c r="G12" s="10"/>
      <c r="H12" s="10"/>
    </row>
    <row r="13" spans="1:8" ht="13.2" x14ac:dyDescent="0.25">
      <c r="A13" s="1" t="s">
        <v>10</v>
      </c>
      <c r="B13" s="465" t="s">
        <v>11</v>
      </c>
      <c r="C13" s="461"/>
      <c r="D13" s="461"/>
      <c r="E13" s="461"/>
      <c r="F13" s="461"/>
      <c r="G13" s="461"/>
      <c r="H13" s="461"/>
    </row>
    <row r="14" spans="1:8" ht="13.2" x14ac:dyDescent="0.25">
      <c r="A14" s="1" t="s">
        <v>12</v>
      </c>
      <c r="B14" s="465" t="s">
        <v>13</v>
      </c>
      <c r="C14" s="461"/>
      <c r="D14" s="461"/>
      <c r="E14" s="461"/>
      <c r="F14" s="461"/>
      <c r="G14" s="461"/>
      <c r="H14" s="461"/>
    </row>
    <row r="15" spans="1:8" ht="13.2" x14ac:dyDescent="0.25">
      <c r="A15" s="1"/>
      <c r="B15" s="11"/>
      <c r="C15" s="11"/>
      <c r="D15" s="11"/>
      <c r="E15" s="11"/>
      <c r="F15" s="11"/>
      <c r="G15" s="11"/>
      <c r="H15" s="11"/>
    </row>
    <row r="16" spans="1:8" ht="13.2" x14ac:dyDescent="0.25">
      <c r="A16" s="1" t="s">
        <v>14</v>
      </c>
      <c r="B16" s="465" t="s">
        <v>15</v>
      </c>
      <c r="C16" s="461"/>
      <c r="D16" s="461"/>
      <c r="E16" s="461"/>
      <c r="F16" s="461"/>
      <c r="G16" s="461"/>
      <c r="H16" s="461"/>
    </row>
    <row r="17" spans="1:8" ht="13.2" x14ac:dyDescent="0.25">
      <c r="A17" s="1"/>
      <c r="B17" s="11"/>
      <c r="C17" s="11"/>
      <c r="D17" s="11"/>
      <c r="E17" s="11"/>
      <c r="F17" s="11"/>
      <c r="G17" s="11"/>
      <c r="H17" s="11"/>
    </row>
    <row r="18" spans="1:8" ht="13.2" x14ac:dyDescent="0.25">
      <c r="A18" s="12" t="s">
        <v>16</v>
      </c>
      <c r="B18" s="465" t="s">
        <v>17</v>
      </c>
      <c r="C18" s="461"/>
      <c r="D18" s="461"/>
      <c r="E18" s="461"/>
      <c r="F18" s="461"/>
      <c r="G18" s="461"/>
      <c r="H18" s="461"/>
    </row>
    <row r="19" spans="1:8" ht="13.2" x14ac:dyDescent="0.25">
      <c r="A19" s="13" t="s">
        <v>18</v>
      </c>
      <c r="B19" s="465" t="s">
        <v>19</v>
      </c>
      <c r="C19" s="461"/>
      <c r="D19" s="461"/>
      <c r="E19" s="461"/>
      <c r="F19" s="461"/>
      <c r="G19" s="461"/>
      <c r="H19" s="461"/>
    </row>
    <row r="20" spans="1:8" ht="13.2" x14ac:dyDescent="0.25">
      <c r="A20" s="14"/>
      <c r="B20" s="15"/>
      <c r="C20" s="15"/>
      <c r="D20" s="7"/>
      <c r="E20" s="11"/>
      <c r="F20" s="11"/>
      <c r="G20" s="11"/>
      <c r="H20" s="16"/>
    </row>
    <row r="21" spans="1:8" ht="13.2" x14ac:dyDescent="0.25">
      <c r="A21" s="469" t="s">
        <v>20</v>
      </c>
      <c r="B21" s="465" t="s">
        <v>21</v>
      </c>
      <c r="C21" s="461"/>
      <c r="D21" s="461"/>
      <c r="E21" s="17" t="s">
        <v>22</v>
      </c>
      <c r="F21" s="17" t="s">
        <v>23</v>
      </c>
      <c r="G21" s="11"/>
      <c r="H21" s="16"/>
    </row>
    <row r="22" spans="1:8" ht="13.2" x14ac:dyDescent="0.25">
      <c r="A22" s="461"/>
      <c r="B22" s="468" t="s">
        <v>24</v>
      </c>
      <c r="C22" s="461"/>
      <c r="D22" s="461"/>
      <c r="E22" s="461"/>
      <c r="F22" s="461"/>
      <c r="G22" s="461"/>
      <c r="H22" s="16"/>
    </row>
    <row r="23" spans="1:8" ht="13.2" x14ac:dyDescent="0.25">
      <c r="A23" s="461"/>
      <c r="B23" s="465" t="s">
        <v>25</v>
      </c>
      <c r="C23" s="461"/>
      <c r="D23" s="461"/>
      <c r="E23" s="461"/>
      <c r="F23" s="461"/>
      <c r="G23" s="11"/>
      <c r="H23" s="16"/>
    </row>
    <row r="24" spans="1:8" ht="13.2" x14ac:dyDescent="0.25">
      <c r="A24" s="18"/>
      <c r="B24" s="19"/>
      <c r="C24" s="19"/>
      <c r="D24" s="19"/>
      <c r="E24" s="19"/>
      <c r="F24" s="19"/>
      <c r="G24" s="19"/>
      <c r="H24" s="19"/>
    </row>
    <row r="25" spans="1:8" ht="13.2" x14ac:dyDescent="0.25">
      <c r="A25" s="13" t="s">
        <v>26</v>
      </c>
      <c r="B25" s="465" t="s">
        <v>27</v>
      </c>
      <c r="C25" s="461"/>
      <c r="D25" s="461"/>
      <c r="E25" s="461"/>
      <c r="F25" s="461"/>
      <c r="G25" s="461"/>
      <c r="H25" s="461"/>
    </row>
    <row r="26" spans="1:8" ht="13.2" x14ac:dyDescent="0.25">
      <c r="A26" s="13" t="s">
        <v>28</v>
      </c>
      <c r="B26" s="465" t="s">
        <v>29</v>
      </c>
      <c r="C26" s="461"/>
      <c r="D26" s="461"/>
      <c r="E26" s="461"/>
      <c r="F26" s="461"/>
      <c r="G26" s="461"/>
      <c r="H26" s="461"/>
    </row>
    <row r="27" spans="1:8" ht="13.2" x14ac:dyDescent="0.25">
      <c r="A27" s="18"/>
      <c r="B27" s="19"/>
      <c r="C27" s="19"/>
      <c r="D27" s="19"/>
      <c r="E27" s="19"/>
      <c r="F27" s="19"/>
      <c r="G27" s="19"/>
      <c r="H27" s="19"/>
    </row>
    <row r="28" spans="1:8" ht="13.2" x14ac:dyDescent="0.25">
      <c r="A28" s="463" t="s">
        <v>30</v>
      </c>
      <c r="B28" s="465" t="s">
        <v>31</v>
      </c>
      <c r="C28" s="461"/>
      <c r="D28" s="461"/>
      <c r="E28" s="461"/>
      <c r="F28" s="461"/>
      <c r="G28" s="461"/>
      <c r="H28" s="461"/>
    </row>
    <row r="29" spans="1:8" ht="13.2" x14ac:dyDescent="0.25">
      <c r="A29" s="461"/>
      <c r="B29" s="465" t="s">
        <v>32</v>
      </c>
      <c r="C29" s="461"/>
      <c r="D29" s="461"/>
      <c r="E29" s="461"/>
      <c r="F29" s="461"/>
      <c r="G29" s="461"/>
      <c r="H29" s="461"/>
    </row>
    <row r="30" spans="1:8" ht="13.2" x14ac:dyDescent="0.25">
      <c r="A30" s="461"/>
      <c r="B30" s="465" t="s">
        <v>33</v>
      </c>
      <c r="C30" s="461"/>
      <c r="D30" s="461"/>
      <c r="E30" s="461"/>
      <c r="F30" s="461"/>
      <c r="G30" s="461"/>
      <c r="H30" s="461"/>
    </row>
    <row r="31" spans="1:8" ht="13.2" x14ac:dyDescent="0.25">
      <c r="A31" s="461"/>
      <c r="B31" s="465" t="s">
        <v>34</v>
      </c>
      <c r="C31" s="461"/>
      <c r="D31" s="461"/>
      <c r="E31" s="461"/>
      <c r="F31" s="461"/>
      <c r="G31" s="461"/>
      <c r="H31" s="461"/>
    </row>
    <row r="32" spans="1:8" ht="13.2" x14ac:dyDescent="0.25">
      <c r="A32" s="461"/>
      <c r="B32" s="465" t="s">
        <v>35</v>
      </c>
      <c r="C32" s="461"/>
      <c r="D32" s="461"/>
      <c r="E32" s="461"/>
      <c r="F32" s="461"/>
      <c r="G32" s="461"/>
      <c r="H32" s="461"/>
    </row>
    <row r="33" spans="1:8" ht="13.2" x14ac:dyDescent="0.25">
      <c r="A33" s="461"/>
      <c r="B33" s="465" t="s">
        <v>36</v>
      </c>
      <c r="C33" s="461"/>
      <c r="D33" s="461"/>
      <c r="E33" s="461"/>
      <c r="F33" s="461"/>
      <c r="G33" s="461"/>
      <c r="H33" s="461"/>
    </row>
    <row r="34" spans="1:8" ht="13.2" x14ac:dyDescent="0.25">
      <c r="A34" s="461"/>
      <c r="B34" s="465" t="s">
        <v>37</v>
      </c>
      <c r="C34" s="461"/>
      <c r="D34" s="461"/>
      <c r="E34" s="461"/>
      <c r="F34" s="461"/>
      <c r="G34" s="461"/>
      <c r="H34" s="461"/>
    </row>
    <row r="35" spans="1:8" ht="13.2" x14ac:dyDescent="0.25">
      <c r="A35" s="461"/>
      <c r="B35" s="20" t="str">
        <f>HYPERLINK("https://uva.onlinejudge.org/index.php?option=com_content&amp;task=view&amp;id=16&amp;Itemid=31","Put problem Status")</f>
        <v>Put problem Status</v>
      </c>
      <c r="C35" s="21" t="s">
        <v>38</v>
      </c>
      <c r="D35" s="21" t="s">
        <v>39</v>
      </c>
      <c r="E35" s="470" t="s">
        <v>40</v>
      </c>
      <c r="F35" s="461"/>
      <c r="G35" s="461"/>
      <c r="H35" s="461"/>
    </row>
    <row r="36" spans="1:8" ht="13.2" x14ac:dyDescent="0.25">
      <c r="A36" s="461"/>
      <c r="B36" s="465" t="s">
        <v>41</v>
      </c>
      <c r="C36" s="461"/>
      <c r="D36" s="461"/>
      <c r="E36" s="461"/>
      <c r="F36" s="461"/>
      <c r="G36" s="461"/>
      <c r="H36" s="461"/>
    </row>
    <row r="37" spans="1:8" ht="13.2" x14ac:dyDescent="0.25">
      <c r="A37" s="461"/>
      <c r="B37" s="465" t="s">
        <v>42</v>
      </c>
      <c r="C37" s="461"/>
      <c r="D37" s="461"/>
      <c r="E37" s="461"/>
      <c r="F37" s="461"/>
      <c r="G37" s="461"/>
      <c r="H37" s="461"/>
    </row>
    <row r="38" spans="1:8" ht="13.2" x14ac:dyDescent="0.25">
      <c r="A38" s="461"/>
      <c r="B38" s="465" t="s">
        <v>43</v>
      </c>
      <c r="C38" s="461"/>
      <c r="D38" s="461"/>
      <c r="E38" s="461"/>
      <c r="F38" s="461"/>
      <c r="G38" s="461"/>
      <c r="H38" s="461"/>
    </row>
    <row r="39" spans="1:8" ht="13.2" x14ac:dyDescent="0.25">
      <c r="A39" s="18"/>
      <c r="B39" s="19"/>
      <c r="C39" s="19"/>
      <c r="D39" s="19"/>
      <c r="E39" s="19"/>
      <c r="F39" s="19"/>
      <c r="G39" s="19"/>
      <c r="H39" s="19"/>
    </row>
    <row r="40" spans="1:8" ht="13.2" x14ac:dyDescent="0.25">
      <c r="A40" s="22" t="s">
        <v>44</v>
      </c>
      <c r="B40" s="465" t="s">
        <v>45</v>
      </c>
      <c r="C40" s="461"/>
      <c r="D40" s="461"/>
      <c r="E40" s="461"/>
      <c r="F40" s="461"/>
      <c r="G40" s="461"/>
      <c r="H40" s="461"/>
    </row>
    <row r="41" spans="1:8" ht="13.2" x14ac:dyDescent="0.25">
      <c r="A41" s="18"/>
      <c r="B41" s="19"/>
      <c r="C41" s="19"/>
      <c r="D41" s="19"/>
      <c r="E41" s="19"/>
      <c r="F41" s="19"/>
      <c r="G41" s="19"/>
      <c r="H41" s="19"/>
    </row>
    <row r="42" spans="1:8" ht="13.2" x14ac:dyDescent="0.25">
      <c r="A42" s="463" t="s">
        <v>46</v>
      </c>
      <c r="B42" s="23" t="str">
        <f>HYPERLINK("http://codeforces.com/contest/136/problem/A","CF136-D2-A")</f>
        <v>CF136-D2-A</v>
      </c>
      <c r="C42" s="465" t="s">
        <v>47</v>
      </c>
      <c r="D42" s="461"/>
      <c r="E42" s="461"/>
      <c r="F42" s="461"/>
      <c r="G42" s="461"/>
      <c r="H42" s="461"/>
    </row>
    <row r="43" spans="1:8" ht="13.2" x14ac:dyDescent="0.25">
      <c r="A43" s="461"/>
      <c r="B43" s="11" t="s">
        <v>48</v>
      </c>
      <c r="C43" s="465" t="s">
        <v>49</v>
      </c>
      <c r="D43" s="461"/>
      <c r="E43" s="461"/>
      <c r="F43" s="461"/>
      <c r="G43" s="461"/>
      <c r="H43" s="461"/>
    </row>
    <row r="44" spans="1:8" ht="13.2" x14ac:dyDescent="0.25">
      <c r="A44" s="18"/>
      <c r="B44" s="473" t="s">
        <v>50</v>
      </c>
      <c r="C44" s="474"/>
      <c r="D44" s="474"/>
      <c r="E44" s="474"/>
      <c r="F44" s="474"/>
      <c r="G44" s="474"/>
      <c r="H44" s="475"/>
    </row>
    <row r="45" spans="1:8" ht="13.2" x14ac:dyDescent="0.25">
      <c r="A45" s="18"/>
      <c r="B45" s="19"/>
      <c r="C45" s="19"/>
      <c r="D45" s="19"/>
      <c r="E45" s="19"/>
      <c r="F45" s="19"/>
      <c r="G45" s="19"/>
      <c r="H45" s="19"/>
    </row>
    <row r="46" spans="1:8" ht="13.2" x14ac:dyDescent="0.25">
      <c r="A46" s="463" t="s">
        <v>51</v>
      </c>
      <c r="B46" s="24" t="str">
        <f>HYPERLINK("http://codeforces.com/contest/483/problem/A","CF483-D2-A")</f>
        <v>CF483-D2-A</v>
      </c>
      <c r="C46" s="472" t="s">
        <v>52</v>
      </c>
      <c r="D46" s="461"/>
      <c r="E46" s="461"/>
      <c r="F46" s="461"/>
      <c r="G46" s="461"/>
      <c r="H46" s="461"/>
    </row>
    <row r="47" spans="1:8" ht="13.2" x14ac:dyDescent="0.25">
      <c r="A47" s="461"/>
      <c r="B47" s="25" t="str">
        <f>HYPERLINK("https://uva.onlinejudge.org/index.php?option=onlinejudge&amp;page=show_problem&amp;problem=1183","UVA 10242")</f>
        <v>UVA 10242</v>
      </c>
      <c r="C47" s="472" t="s">
        <v>53</v>
      </c>
      <c r="D47" s="461"/>
      <c r="E47" s="461"/>
      <c r="F47" s="461"/>
      <c r="G47" s="461"/>
      <c r="H47" s="461"/>
    </row>
    <row r="48" spans="1:8" ht="13.2" x14ac:dyDescent="0.25">
      <c r="A48" s="461"/>
      <c r="B48" s="27" t="str">
        <f>HYPERLINK("http://www.spoj.com/problems/CDOWN/","SPOJ CDOWN")</f>
        <v>SPOJ CDOWN</v>
      </c>
      <c r="C48" s="472" t="s">
        <v>54</v>
      </c>
      <c r="D48" s="461"/>
      <c r="E48" s="461"/>
      <c r="F48" s="461"/>
      <c r="G48" s="461"/>
      <c r="H48" s="461"/>
    </row>
    <row r="49" spans="1:8" ht="17.25" customHeight="1" x14ac:dyDescent="0.25">
      <c r="A49" s="461"/>
      <c r="B49" s="28" t="str">
        <f>HYPERLINK("http://codeforces.com/contest/518/problem/B","CF518-D2-B")</f>
        <v>CF518-D2-B</v>
      </c>
      <c r="C49" s="472" t="s">
        <v>55</v>
      </c>
      <c r="D49" s="461"/>
      <c r="E49" s="461"/>
      <c r="F49" s="461"/>
      <c r="G49" s="461"/>
      <c r="H49" s="461"/>
    </row>
    <row r="50" spans="1:8" ht="13.2" x14ac:dyDescent="0.25">
      <c r="A50" s="18"/>
      <c r="B50" s="26"/>
      <c r="C50" s="26"/>
      <c r="D50" s="26"/>
      <c r="E50" s="26"/>
      <c r="F50" s="26"/>
      <c r="G50" s="26"/>
      <c r="H50" s="26"/>
    </row>
    <row r="51" spans="1:8" ht="13.2" x14ac:dyDescent="0.25">
      <c r="A51" s="13" t="s">
        <v>56</v>
      </c>
      <c r="B51" s="472" t="s">
        <v>57</v>
      </c>
      <c r="C51" s="461"/>
      <c r="D51" s="461"/>
      <c r="E51" s="461"/>
      <c r="F51" s="461"/>
      <c r="G51" s="461"/>
      <c r="H51" s="461"/>
    </row>
    <row r="52" spans="1:8" ht="13.2" x14ac:dyDescent="0.25">
      <c r="A52" s="18"/>
      <c r="B52" s="29"/>
      <c r="C52" s="29"/>
      <c r="D52" s="29"/>
      <c r="E52" s="29"/>
      <c r="F52" s="29"/>
      <c r="G52" s="29"/>
      <c r="H52" s="29"/>
    </row>
    <row r="53" spans="1:8" ht="13.2" x14ac:dyDescent="0.25">
      <c r="A53" s="1" t="s">
        <v>58</v>
      </c>
      <c r="B53" s="472" t="s">
        <v>59</v>
      </c>
      <c r="C53" s="461"/>
      <c r="D53" s="461"/>
      <c r="E53" s="461"/>
      <c r="F53" s="461"/>
      <c r="G53" s="461"/>
      <c r="H53" s="461"/>
    </row>
    <row r="54" spans="1:8" ht="13.2" x14ac:dyDescent="0.25">
      <c r="A54" s="18"/>
      <c r="B54" s="29"/>
      <c r="C54" s="29"/>
      <c r="D54" s="29"/>
      <c r="E54" s="29"/>
      <c r="F54" s="29"/>
      <c r="G54" s="29"/>
      <c r="H54" s="29"/>
    </row>
    <row r="55" spans="1:8" ht="13.2" x14ac:dyDescent="0.25">
      <c r="A55" s="463" t="s">
        <v>60</v>
      </c>
      <c r="B55" s="476" t="str">
        <f>HYPERLINK("https://github.com/lnishan/awesome-competitive-programming","Awesome Competitive Programming")</f>
        <v>Awesome Competitive Programming</v>
      </c>
      <c r="C55" s="461"/>
      <c r="D55" s="465" t="s">
        <v>61</v>
      </c>
      <c r="E55" s="461"/>
      <c r="F55" s="461"/>
      <c r="G55" s="461"/>
      <c r="H55" s="461"/>
    </row>
    <row r="56" spans="1:8" ht="13.2" x14ac:dyDescent="0.25">
      <c r="A56" s="461"/>
      <c r="B56" s="476" t="str">
        <f>HYPERLINK("https://github.com/AhmadElsagheer/Competitive-programming-library/tree/master/curriculum","Ahmed Elsaghir Trainnig")</f>
        <v>Ahmed Elsaghir Trainnig</v>
      </c>
      <c r="C56" s="461"/>
      <c r="D56" s="465" t="s">
        <v>62</v>
      </c>
      <c r="E56" s="461"/>
      <c r="F56" s="461"/>
      <c r="G56" s="461"/>
      <c r="H56" s="461"/>
    </row>
    <row r="57" spans="1:8" ht="13.2" x14ac:dyDescent="0.25">
      <c r="A57" s="461"/>
      <c r="B57" s="476" t="str">
        <f>HYPERLINK("https://a2oj.com/ladders","A2oj Ladders")</f>
        <v>A2oj Ladders</v>
      </c>
      <c r="C57" s="461"/>
      <c r="D57" s="465" t="s">
        <v>63</v>
      </c>
      <c r="E57" s="461"/>
      <c r="F57" s="461"/>
      <c r="G57" s="461"/>
      <c r="H57" s="461"/>
    </row>
    <row r="58" spans="1:8" ht="13.2" x14ac:dyDescent="0.25">
      <c r="A58" s="461"/>
      <c r="B58" s="477" t="str">
        <f>HYPERLINK("https://www.youtube.com/watch?v=mUSajNUEWxg&amp;list=PLb7yniFBnvZIdfxYIKqNlGsTf5oZy4dKk","Prgramming Ahmed M sayd")</f>
        <v>Prgramming Ahmed M sayd</v>
      </c>
      <c r="C58" s="461"/>
      <c r="D58" s="465" t="s">
        <v>64</v>
      </c>
      <c r="E58" s="461"/>
      <c r="F58" s="461"/>
      <c r="G58" s="461"/>
      <c r="H58" s="461"/>
    </row>
    <row r="59" spans="1:8" ht="13.2" x14ac:dyDescent="0.25">
      <c r="A59" s="461"/>
      <c r="B59" s="471" t="s">
        <v>65</v>
      </c>
      <c r="C59" s="461"/>
      <c r="D59" s="465" t="s">
        <v>64</v>
      </c>
      <c r="E59" s="461"/>
      <c r="F59" s="461"/>
      <c r="G59" s="461"/>
      <c r="H59" s="461"/>
    </row>
    <row r="60" spans="1:8" ht="13.2" x14ac:dyDescent="0.25">
      <c r="A60" s="461"/>
      <c r="B60" s="30" t="str">
        <f>HYPERLINK("https://www.youtube.com/playlist?list=PLPt2dINI2MIZi6jW3pFvP9AHDsNi5XlD1","More Resources")</f>
        <v>More Resources</v>
      </c>
      <c r="C60" s="31"/>
      <c r="D60" s="465" t="s">
        <v>66</v>
      </c>
      <c r="E60" s="461"/>
      <c r="F60" s="461"/>
      <c r="G60" s="461"/>
      <c r="H60" s="461"/>
    </row>
    <row r="61" spans="1:8" ht="13.2" x14ac:dyDescent="0.25">
      <c r="A61" s="18"/>
      <c r="B61" s="32"/>
      <c r="C61" s="32"/>
      <c r="D61" s="32"/>
      <c r="E61" s="32"/>
      <c r="F61" s="32"/>
      <c r="G61" s="32"/>
      <c r="H61" s="32"/>
    </row>
    <row r="62" spans="1:8" ht="13.2" x14ac:dyDescent="0.25">
      <c r="A62" s="463" t="s">
        <v>67</v>
      </c>
      <c r="B62" s="479" t="s">
        <v>68</v>
      </c>
      <c r="C62" s="461"/>
      <c r="D62" s="461"/>
      <c r="E62" s="461"/>
      <c r="F62" s="461"/>
      <c r="G62" s="461"/>
      <c r="H62" s="461"/>
    </row>
    <row r="63" spans="1:8" ht="13.2" x14ac:dyDescent="0.25">
      <c r="A63" s="461"/>
      <c r="B63" s="479" t="s">
        <v>69</v>
      </c>
      <c r="C63" s="461"/>
      <c r="D63" s="461"/>
      <c r="E63" s="461"/>
      <c r="F63" s="461"/>
      <c r="G63" s="461"/>
      <c r="H63" s="461"/>
    </row>
    <row r="64" spans="1:8" ht="13.2" x14ac:dyDescent="0.25">
      <c r="A64" s="461"/>
      <c r="B64" s="465" t="s">
        <v>70</v>
      </c>
      <c r="C64" s="461"/>
      <c r="D64" s="461"/>
      <c r="E64" s="461"/>
      <c r="F64" s="461"/>
      <c r="G64" s="461"/>
      <c r="H64" s="461"/>
    </row>
    <row r="65" spans="1:8" ht="13.2" x14ac:dyDescent="0.25">
      <c r="A65" s="461"/>
      <c r="B65" s="465" t="s">
        <v>71</v>
      </c>
      <c r="C65" s="461"/>
      <c r="D65" s="461"/>
      <c r="E65" s="461"/>
      <c r="F65" s="461"/>
      <c r="G65" s="461"/>
      <c r="H65" s="461"/>
    </row>
    <row r="66" spans="1:8" ht="13.2" x14ac:dyDescent="0.25">
      <c r="A66" s="461"/>
      <c r="B66" s="33" t="s">
        <v>72</v>
      </c>
      <c r="C66" s="11"/>
      <c r="D66" s="11"/>
      <c r="E66" s="11"/>
      <c r="F66" s="11"/>
      <c r="G66" s="11"/>
      <c r="H66" s="11"/>
    </row>
    <row r="67" spans="1:8" ht="13.2" x14ac:dyDescent="0.25">
      <c r="A67" s="461"/>
      <c r="B67" s="465" t="s">
        <v>73</v>
      </c>
      <c r="C67" s="461"/>
      <c r="D67" s="461"/>
      <c r="E67" s="461"/>
      <c r="F67" s="461"/>
      <c r="G67" s="461"/>
      <c r="H67" s="461"/>
    </row>
    <row r="68" spans="1:8" ht="13.2" x14ac:dyDescent="0.25">
      <c r="A68" s="461"/>
      <c r="B68" s="465" t="s">
        <v>74</v>
      </c>
      <c r="C68" s="461"/>
      <c r="D68" s="461"/>
      <c r="E68" s="461"/>
      <c r="F68" s="461"/>
      <c r="G68" s="461"/>
      <c r="H68" s="461"/>
    </row>
    <row r="69" spans="1:8" ht="13.2" x14ac:dyDescent="0.25">
      <c r="A69" s="34"/>
      <c r="B69" s="26"/>
      <c r="C69" s="26"/>
      <c r="D69" s="26"/>
      <c r="E69" s="26"/>
      <c r="F69" s="26"/>
      <c r="G69" s="26"/>
      <c r="H69" s="26"/>
    </row>
    <row r="70" spans="1:8" ht="13.2" x14ac:dyDescent="0.25">
      <c r="A70" s="34"/>
      <c r="B70" s="26"/>
      <c r="C70" s="26"/>
      <c r="D70" s="26"/>
      <c r="E70" s="26"/>
      <c r="F70" s="26"/>
      <c r="G70" s="26"/>
      <c r="H70" s="26"/>
    </row>
    <row r="71" spans="1:8" ht="13.2" x14ac:dyDescent="0.25">
      <c r="A71" s="478" t="s">
        <v>75</v>
      </c>
      <c r="B71" s="461"/>
      <c r="C71" s="461"/>
      <c r="D71" s="461"/>
      <c r="E71" s="461"/>
      <c r="F71" s="461"/>
      <c r="G71" s="461"/>
      <c r="H71" s="461"/>
    </row>
    <row r="72" spans="1:8" ht="13.2" x14ac:dyDescent="0.25">
      <c r="A72" s="478" t="s">
        <v>76</v>
      </c>
      <c r="B72" s="461"/>
      <c r="C72" s="461"/>
      <c r="D72" s="461"/>
      <c r="E72" s="461"/>
      <c r="F72" s="461"/>
      <c r="G72" s="461"/>
      <c r="H72" s="461"/>
    </row>
    <row r="73" spans="1:8" ht="13.2" x14ac:dyDescent="0.25">
      <c r="A73" s="478" t="s">
        <v>77</v>
      </c>
      <c r="B73" s="461"/>
      <c r="C73" s="461"/>
      <c r="D73" s="461"/>
      <c r="E73" s="461"/>
      <c r="F73" s="461"/>
      <c r="G73" s="461"/>
      <c r="H73" s="461"/>
    </row>
  </sheetData>
  <mergeCells count="67">
    <mergeCell ref="A62:A68"/>
    <mergeCell ref="A71:H71"/>
    <mergeCell ref="A72:H72"/>
    <mergeCell ref="A73:H73"/>
    <mergeCell ref="D60:H60"/>
    <mergeCell ref="B62:H62"/>
    <mergeCell ref="B63:H63"/>
    <mergeCell ref="B64:H64"/>
    <mergeCell ref="B65:H65"/>
    <mergeCell ref="B67:H67"/>
    <mergeCell ref="B68:H68"/>
    <mergeCell ref="A42:A43"/>
    <mergeCell ref="C42:H42"/>
    <mergeCell ref="C43:H43"/>
    <mergeCell ref="A46:A49"/>
    <mergeCell ref="B56:C56"/>
    <mergeCell ref="B55:C55"/>
    <mergeCell ref="A55:A60"/>
    <mergeCell ref="D55:H55"/>
    <mergeCell ref="D56:H56"/>
    <mergeCell ref="D57:H57"/>
    <mergeCell ref="B23:F23"/>
    <mergeCell ref="B25:H25"/>
    <mergeCell ref="B26:H26"/>
    <mergeCell ref="A28:A38"/>
    <mergeCell ref="B28:H28"/>
    <mergeCell ref="B29:H29"/>
    <mergeCell ref="B30:H30"/>
    <mergeCell ref="B44:H44"/>
    <mergeCell ref="C46:H46"/>
    <mergeCell ref="C47:H47"/>
    <mergeCell ref="C48:H48"/>
    <mergeCell ref="B37:H37"/>
    <mergeCell ref="E35:H35"/>
    <mergeCell ref="B36:H36"/>
    <mergeCell ref="D58:H58"/>
    <mergeCell ref="B59:C59"/>
    <mergeCell ref="D59:H59"/>
    <mergeCell ref="C49:H49"/>
    <mergeCell ref="B51:H51"/>
    <mergeCell ref="B53:H53"/>
    <mergeCell ref="B38:H38"/>
    <mergeCell ref="B40:H40"/>
    <mergeCell ref="B57:C57"/>
    <mergeCell ref="B58:C58"/>
    <mergeCell ref="A21:A23"/>
    <mergeCell ref="B31:H31"/>
    <mergeCell ref="B32:H32"/>
    <mergeCell ref="B33:H33"/>
    <mergeCell ref="B34:H34"/>
    <mergeCell ref="B21:D21"/>
    <mergeCell ref="B22:G22"/>
    <mergeCell ref="B11:G11"/>
    <mergeCell ref="B13:H13"/>
    <mergeCell ref="B14:H14"/>
    <mergeCell ref="B16:H16"/>
    <mergeCell ref="B18:H18"/>
    <mergeCell ref="B19:H19"/>
    <mergeCell ref="B8:C8"/>
    <mergeCell ref="B9:G9"/>
    <mergeCell ref="A1:A11"/>
    <mergeCell ref="B1:H1"/>
    <mergeCell ref="B2:C2"/>
    <mergeCell ref="B3:E3"/>
    <mergeCell ref="B4:C4"/>
    <mergeCell ref="B6:E6"/>
    <mergeCell ref="B7:D7"/>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x14ac:dyDescent="0.25"/>
  <cols>
    <col min="1" max="1" width="167.44140625" customWidth="1"/>
  </cols>
  <sheetData>
    <row r="1" spans="1:1" ht="15.75" customHeight="1" x14ac:dyDescent="0.25">
      <c r="A1" s="36" t="s">
        <v>78</v>
      </c>
    </row>
    <row r="2" spans="1:1" ht="15.75" customHeight="1" x14ac:dyDescent="0.25">
      <c r="A2" s="37" t="s">
        <v>79</v>
      </c>
    </row>
    <row r="4" spans="1:1" ht="15.75" customHeight="1" x14ac:dyDescent="0.25">
      <c r="A4" s="38" t="s">
        <v>80</v>
      </c>
    </row>
    <row r="5" spans="1:1" ht="15.75" customHeight="1" x14ac:dyDescent="0.25">
      <c r="A5" s="10" t="s">
        <v>81</v>
      </c>
    </row>
    <row r="6" spans="1:1" ht="15.75" customHeight="1" x14ac:dyDescent="0.25">
      <c r="A6" s="39" t="s">
        <v>82</v>
      </c>
    </row>
    <row r="7" spans="1:1" ht="15.75" customHeight="1" x14ac:dyDescent="0.25">
      <c r="A7" s="37" t="s">
        <v>83</v>
      </c>
    </row>
    <row r="9" spans="1:1" ht="15.75" customHeight="1" x14ac:dyDescent="0.25">
      <c r="A9" s="36" t="s">
        <v>84</v>
      </c>
    </row>
    <row r="10" spans="1:1" ht="15.75" customHeight="1" x14ac:dyDescent="0.25">
      <c r="A10" s="40" t="s">
        <v>85</v>
      </c>
    </row>
    <row r="12" spans="1:1" ht="15.75" customHeight="1" x14ac:dyDescent="0.25">
      <c r="A12" s="36" t="s">
        <v>86</v>
      </c>
    </row>
    <row r="13" spans="1:1" ht="15.75" customHeight="1" x14ac:dyDescent="0.25">
      <c r="A13" s="37" t="s">
        <v>87</v>
      </c>
    </row>
    <row r="15" spans="1:1" ht="15.75" customHeight="1" x14ac:dyDescent="0.25">
      <c r="A15" s="36" t="s">
        <v>88</v>
      </c>
    </row>
    <row r="16" spans="1:1" ht="15.75" customHeight="1" x14ac:dyDescent="0.25">
      <c r="A16" s="37" t="s">
        <v>89</v>
      </c>
    </row>
    <row r="18" spans="1:1" ht="13.2" x14ac:dyDescent="0.25">
      <c r="A18" s="36" t="s">
        <v>90</v>
      </c>
    </row>
    <row r="19" spans="1:1" ht="26.4" x14ac:dyDescent="0.25">
      <c r="A19" s="37" t="s">
        <v>91</v>
      </c>
    </row>
    <row r="21" spans="1:1" ht="13.2" x14ac:dyDescent="0.25">
      <c r="A21" s="36" t="s">
        <v>92</v>
      </c>
    </row>
    <row r="22" spans="1:1" ht="184.8" x14ac:dyDescent="0.25">
      <c r="A22" s="37" t="s">
        <v>93</v>
      </c>
    </row>
    <row r="24" spans="1:1" ht="13.2" x14ac:dyDescent="0.25">
      <c r="A24" s="36" t="s">
        <v>94</v>
      </c>
    </row>
    <row r="25" spans="1:1" ht="66" x14ac:dyDescent="0.25">
      <c r="A25" s="37" t="s">
        <v>95</v>
      </c>
    </row>
    <row r="27" spans="1:1" ht="13.2" x14ac:dyDescent="0.25">
      <c r="A27" s="41" t="s">
        <v>96</v>
      </c>
    </row>
    <row r="28" spans="1:1" ht="26.4" x14ac:dyDescent="0.25">
      <c r="A28" s="26" t="s">
        <v>97</v>
      </c>
    </row>
    <row r="29" spans="1:1" ht="13.2" x14ac:dyDescent="0.25">
      <c r="A29" s="26"/>
    </row>
    <row r="30" spans="1:1" ht="13.2" x14ac:dyDescent="0.25">
      <c r="A30" s="41" t="s">
        <v>98</v>
      </c>
    </row>
    <row r="31" spans="1:1" ht="52.8" x14ac:dyDescent="0.25">
      <c r="A31" s="37" t="s">
        <v>99</v>
      </c>
    </row>
    <row r="33" spans="1:1" ht="13.2" x14ac:dyDescent="0.25">
      <c r="A33" s="41" t="s">
        <v>100</v>
      </c>
    </row>
    <row r="34" spans="1:1" ht="290.39999999999998" x14ac:dyDescent="0.25">
      <c r="A34" s="37" t="s">
        <v>101</v>
      </c>
    </row>
    <row r="36" spans="1:1" ht="26.4" x14ac:dyDescent="0.25">
      <c r="A36" s="37" t="s">
        <v>102</v>
      </c>
    </row>
    <row r="38" spans="1:1" ht="13.2" x14ac:dyDescent="0.25">
      <c r="A38" s="41" t="s">
        <v>103</v>
      </c>
    </row>
    <row r="39" spans="1:1" ht="105.6" x14ac:dyDescent="0.25">
      <c r="A39" s="37" t="s">
        <v>104</v>
      </c>
    </row>
    <row r="41" spans="1:1" ht="13.2" x14ac:dyDescent="0.25">
      <c r="A41" s="41" t="s">
        <v>105</v>
      </c>
    </row>
    <row r="42" spans="1:1" ht="79.2" x14ac:dyDescent="0.25">
      <c r="A42" s="37" t="s">
        <v>106</v>
      </c>
    </row>
    <row r="45" spans="1:1" ht="13.2" x14ac:dyDescent="0.25">
      <c r="A45" s="41" t="s">
        <v>107</v>
      </c>
    </row>
    <row r="46" spans="1:1" ht="184.8" x14ac:dyDescent="0.25">
      <c r="A46" s="37" t="s">
        <v>108</v>
      </c>
    </row>
    <row r="48" spans="1:1" ht="13.2" x14ac:dyDescent="0.25">
      <c r="A48" s="41" t="s">
        <v>109</v>
      </c>
    </row>
    <row r="49" spans="1:1" ht="118.8" x14ac:dyDescent="0.25">
      <c r="A49" s="37" t="s">
        <v>110</v>
      </c>
    </row>
    <row r="51" spans="1:1" ht="13.2" x14ac:dyDescent="0.25">
      <c r="A51" s="41" t="s">
        <v>111</v>
      </c>
    </row>
    <row r="52" spans="1:1" ht="92.4" x14ac:dyDescent="0.25">
      <c r="A52" s="37" t="s">
        <v>112</v>
      </c>
    </row>
    <row r="54" spans="1:1" ht="13.2" x14ac:dyDescent="0.25">
      <c r="A54" s="41" t="s">
        <v>113</v>
      </c>
    </row>
    <row r="55" spans="1:1" ht="13.2" x14ac:dyDescent="0.25">
      <c r="A55" s="37" t="s">
        <v>114</v>
      </c>
    </row>
    <row r="57" spans="1:1" ht="13.2" x14ac:dyDescent="0.25">
      <c r="A57" s="41" t="s">
        <v>115</v>
      </c>
    </row>
    <row r="58" spans="1:1" ht="52.8" x14ac:dyDescent="0.25">
      <c r="A58" s="37" t="s">
        <v>116</v>
      </c>
    </row>
    <row r="60" spans="1:1" ht="13.2" x14ac:dyDescent="0.25">
      <c r="A60" s="41" t="s">
        <v>117</v>
      </c>
    </row>
    <row r="61" spans="1:1" ht="13.2" x14ac:dyDescent="0.25">
      <c r="A61" s="37" t="s">
        <v>118</v>
      </c>
    </row>
    <row r="63" spans="1:1" ht="13.2" x14ac:dyDescent="0.25">
      <c r="A63" s="41" t="s">
        <v>119</v>
      </c>
    </row>
    <row r="64" spans="1:1" ht="13.2" x14ac:dyDescent="0.25">
      <c r="A64" s="40" t="s">
        <v>120</v>
      </c>
    </row>
    <row r="66" spans="1:1" ht="13.2" x14ac:dyDescent="0.25">
      <c r="A66" s="41" t="s">
        <v>121</v>
      </c>
    </row>
    <row r="67" spans="1:1" ht="26.4" x14ac:dyDescent="0.25">
      <c r="A67" s="37" t="s">
        <v>122</v>
      </c>
    </row>
    <row r="69" spans="1:1" ht="13.2" x14ac:dyDescent="0.25">
      <c r="A69" s="41" t="s">
        <v>123</v>
      </c>
    </row>
    <row r="70" spans="1:1" ht="198" x14ac:dyDescent="0.25">
      <c r="A70" s="37" t="s">
        <v>124</v>
      </c>
    </row>
    <row r="72" spans="1:1" ht="13.2" x14ac:dyDescent="0.25">
      <c r="A72" s="41" t="s">
        <v>125</v>
      </c>
    </row>
    <row r="73" spans="1:1" ht="13.2" x14ac:dyDescent="0.25">
      <c r="A73" s="40" t="s">
        <v>126</v>
      </c>
    </row>
    <row r="75" spans="1:1" ht="13.2" x14ac:dyDescent="0.25">
      <c r="A75" s="41" t="s">
        <v>127</v>
      </c>
    </row>
    <row r="76" spans="1:1" ht="13.2" x14ac:dyDescent="0.25">
      <c r="A76" s="40" t="s">
        <v>128</v>
      </c>
    </row>
    <row r="78" spans="1:1" ht="13.2" x14ac:dyDescent="0.25">
      <c r="A78" s="41" t="s">
        <v>129</v>
      </c>
    </row>
    <row r="79" spans="1:1" ht="39.6" x14ac:dyDescent="0.25">
      <c r="A79" s="37" t="s">
        <v>130</v>
      </c>
    </row>
    <row r="81" spans="1:1" ht="13.2" x14ac:dyDescent="0.25">
      <c r="A81" s="41" t="s">
        <v>131</v>
      </c>
    </row>
    <row r="82" spans="1:1" ht="13.2" x14ac:dyDescent="0.25">
      <c r="A82" s="37" t="s">
        <v>132</v>
      </c>
    </row>
    <row r="84" spans="1:1" ht="13.2" x14ac:dyDescent="0.25">
      <c r="A84" s="41" t="s">
        <v>133</v>
      </c>
    </row>
    <row r="85" spans="1:1" ht="13.2" x14ac:dyDescent="0.25">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3" activePane="bottomLeft" state="frozen"/>
      <selection pane="bottomLeft" activeCell="C12" sqref="C12"/>
    </sheetView>
  </sheetViews>
  <sheetFormatPr defaultColWidth="17.33203125" defaultRowHeight="15.75" customHeight="1" x14ac:dyDescent="0.25"/>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x14ac:dyDescent="0.25">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x14ac:dyDescent="0.25">
      <c r="A2" s="47"/>
      <c r="B2" s="48" t="s">
        <v>148</v>
      </c>
      <c r="C2" s="49">
        <f>COUNTIF(C3:C10520, "AC")</f>
        <v>4</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x14ac:dyDescent="0.25">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x14ac:dyDescent="0.25">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x14ac:dyDescent="0.25">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x14ac:dyDescent="0.25">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x14ac:dyDescent="0.25">
      <c r="A7" s="53" t="s">
        <v>169</v>
      </c>
      <c r="B7" s="54" t="s">
        <v>170</v>
      </c>
      <c r="C7" s="61" t="s">
        <v>171</v>
      </c>
      <c r="D7" s="56">
        <v>6</v>
      </c>
      <c r="E7" s="56">
        <v>5</v>
      </c>
      <c r="F7" s="56">
        <v>30</v>
      </c>
      <c r="G7" s="56">
        <v>25</v>
      </c>
      <c r="H7" s="56">
        <v>31</v>
      </c>
      <c r="I7" s="57">
        <f t="shared" si="0"/>
        <v>91</v>
      </c>
      <c r="J7" s="56">
        <v>9</v>
      </c>
      <c r="K7" s="56"/>
      <c r="L7" s="56"/>
      <c r="M7" s="53" t="s">
        <v>172</v>
      </c>
    </row>
    <row r="8" spans="1:13" ht="15.75" customHeight="1" x14ac:dyDescent="0.25">
      <c r="A8" s="53"/>
      <c r="B8" s="54"/>
      <c r="C8" s="48"/>
      <c r="D8" s="62"/>
      <c r="E8" s="62"/>
      <c r="F8" s="62"/>
      <c r="G8" s="62"/>
      <c r="H8" s="57"/>
      <c r="I8" s="57">
        <f t="shared" si="0"/>
        <v>0</v>
      </c>
      <c r="J8" s="62"/>
      <c r="K8" s="56"/>
      <c r="L8" s="62"/>
      <c r="M8" s="63"/>
    </row>
    <row r="9" spans="1:13" ht="15.75" customHeight="1" x14ac:dyDescent="0.25">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x14ac:dyDescent="0.25">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x14ac:dyDescent="0.25">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x14ac:dyDescent="0.25">
      <c r="A12" s="68" t="s">
        <v>174</v>
      </c>
      <c r="B12" s="69" t="str">
        <f>HYPERLINK("http://codeforces.com/contest/734/problem/A","CF734-D2-A")</f>
        <v>CF734-D2-A</v>
      </c>
      <c r="C12" s="48"/>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x14ac:dyDescent="0.25">
      <c r="A13" s="68"/>
      <c r="B13" s="72"/>
      <c r="C13" s="48"/>
      <c r="D13" s="62"/>
      <c r="E13" s="62"/>
      <c r="F13" s="62"/>
      <c r="G13" s="62"/>
      <c r="H13" s="57"/>
      <c r="I13" s="57">
        <f t="shared" si="0"/>
        <v>0</v>
      </c>
      <c r="J13" s="62"/>
      <c r="K13" s="56"/>
      <c r="L13" s="62"/>
      <c r="M13" s="73" t="s">
        <v>175</v>
      </c>
    </row>
    <row r="14" spans="1:13" ht="15.75" customHeight="1" x14ac:dyDescent="0.25">
      <c r="A14" s="68"/>
      <c r="B14" s="74"/>
      <c r="C14" s="48"/>
      <c r="D14" s="62"/>
      <c r="E14" s="62"/>
      <c r="F14" s="62"/>
      <c r="G14" s="62"/>
      <c r="H14" s="57"/>
      <c r="I14" s="57">
        <f t="shared" si="0"/>
        <v>0</v>
      </c>
      <c r="J14" s="62"/>
      <c r="K14" s="56"/>
      <c r="L14" s="62"/>
      <c r="M14" s="75" t="s">
        <v>176</v>
      </c>
    </row>
    <row r="15" spans="1:13" ht="15.75" customHeight="1" x14ac:dyDescent="0.25">
      <c r="A15" s="68"/>
      <c r="B15" s="74"/>
      <c r="C15" s="48"/>
      <c r="D15" s="62"/>
      <c r="E15" s="62"/>
      <c r="F15" s="62"/>
      <c r="G15" s="62"/>
      <c r="H15" s="57"/>
      <c r="I15" s="57">
        <f t="shared" si="0"/>
        <v>0</v>
      </c>
      <c r="J15" s="62"/>
      <c r="K15" s="56"/>
      <c r="L15" s="62"/>
      <c r="M15" s="75"/>
    </row>
    <row r="16" spans="1:13" ht="15.75" customHeight="1" x14ac:dyDescent="0.25">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x14ac:dyDescent="0.25">
      <c r="A17" s="68" t="s">
        <v>178</v>
      </c>
      <c r="B17" s="69" t="str">
        <f>HYPERLINK("http://codeforces.com/contest/231/problem/A","CF231-D2-A")</f>
        <v>CF231-D2-A</v>
      </c>
      <c r="C17" s="48"/>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x14ac:dyDescent="0.25">
      <c r="A18" s="68" t="s">
        <v>179</v>
      </c>
      <c r="B18" s="69" t="str">
        <f>HYPERLINK("http://codeforces.com/contest/263/problem/A","CF263-D2-A")</f>
        <v>CF263-D2-A</v>
      </c>
      <c r="C18" s="48"/>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x14ac:dyDescent="0.25">
      <c r="A19" s="79" t="s">
        <v>180</v>
      </c>
      <c r="B19" s="80" t="str">
        <f>HYPERLINK("http://codeforces.com/contest/405/problem/A","CF405-D2-A")</f>
        <v>CF405-D2-A</v>
      </c>
      <c r="C19" s="48"/>
      <c r="D19" s="62"/>
      <c r="E19" s="62"/>
      <c r="F19" s="62"/>
      <c r="G19" s="62"/>
      <c r="H19" s="57"/>
      <c r="I19" s="57">
        <f t="shared" si="0"/>
        <v>0</v>
      </c>
      <c r="J19" s="26"/>
      <c r="K19" s="56"/>
      <c r="L19" s="26"/>
      <c r="M19" s="81" t="str">
        <f>HYPERLINK("https://www.youtube.com/watch?v=HNe9QW-1MJI","Video Solution - Eng John Gamal")</f>
        <v>Video Solution - Eng John Gamal</v>
      </c>
    </row>
    <row r="20" spans="1:13" ht="13.2" x14ac:dyDescent="0.25">
      <c r="A20" s="79" t="s">
        <v>181</v>
      </c>
      <c r="B20" s="80" t="str">
        <f>HYPERLINK("http://codeforces.com/contest/112/problem/A","CF112-D2-A")</f>
        <v>CF112-D2-A</v>
      </c>
      <c r="C20" s="48"/>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x14ac:dyDescent="0.25">
      <c r="A21" s="79" t="s">
        <v>182</v>
      </c>
      <c r="B21" s="80" t="str">
        <f>HYPERLINK("http://codeforces.com/contest/236/problem/A","CF236-D2-A")</f>
        <v>CF236-D2-A</v>
      </c>
      <c r="C21" s="48"/>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x14ac:dyDescent="0.25">
      <c r="A22" s="83" t="s">
        <v>183</v>
      </c>
      <c r="B22" s="84" t="str">
        <f>HYPERLINK("http://codeforces.com/contest/59/problem/A","CF59-D2-A")</f>
        <v>CF59-D2-A</v>
      </c>
      <c r="C22" s="48"/>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x14ac:dyDescent="0.25">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13.2" x14ac:dyDescent="0.25">
      <c r="A24" s="86" t="s">
        <v>185</v>
      </c>
      <c r="B24" s="87" t="str">
        <f>HYPERLINK("http://codeforces.com/contest/381/problem/A","CF381-D2-A")</f>
        <v>CF381-D2-A</v>
      </c>
      <c r="C24" s="48"/>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x14ac:dyDescent="0.25">
      <c r="A25" s="68" t="s">
        <v>186</v>
      </c>
      <c r="B25" s="69" t="str">
        <f>HYPERLINK("http://codeforces.com/contest/266/problem/A","CF266-D2-A")</f>
        <v>CF266-D2-A</v>
      </c>
      <c r="C25" s="48"/>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x14ac:dyDescent="0.25">
      <c r="A26" s="68" t="s">
        <v>187</v>
      </c>
      <c r="B26" s="69" t="str">
        <f>HYPERLINK("http://codeforces.com/contest/427/problem/A","CF427-D2-A")</f>
        <v>CF427-D2-A</v>
      </c>
      <c r="C26" s="48"/>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x14ac:dyDescent="0.25">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x14ac:dyDescent="0.25">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x14ac:dyDescent="0.25">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x14ac:dyDescent="0.25">
      <c r="A30" s="90"/>
      <c r="B30" s="91"/>
      <c r="C30" s="48"/>
      <c r="D30" s="62"/>
      <c r="E30" s="62"/>
      <c r="F30" s="62"/>
      <c r="G30" s="62"/>
      <c r="H30" s="57"/>
      <c r="I30" s="57"/>
      <c r="J30" s="62"/>
      <c r="K30" s="56"/>
      <c r="L30" s="62"/>
      <c r="M30" s="66"/>
    </row>
    <row r="31" spans="1:13" ht="13.2" x14ac:dyDescent="0.25">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x14ac:dyDescent="0.25">
      <c r="A32" s="79" t="s">
        <v>191</v>
      </c>
      <c r="B32" s="80" t="str">
        <f>HYPERLINK("http://codeforces.com/contest/732/problem/A","CF732-D2-A")</f>
        <v>CF732-D2-A</v>
      </c>
      <c r="C32" s="92"/>
      <c r="D32" s="93"/>
      <c r="E32" s="93"/>
      <c r="F32" s="93"/>
      <c r="G32" s="93"/>
      <c r="H32" s="92"/>
      <c r="I32" s="57">
        <f t="shared" si="1"/>
        <v>0</v>
      </c>
      <c r="J32" s="93"/>
      <c r="K32" s="92"/>
      <c r="L32" s="93"/>
      <c r="M32" s="81" t="str">
        <f>HYPERLINK("https://www.youtube.com/watch?v=jKOSPuoplz0","Video Solution - Eng Yahia Ashraf")</f>
        <v>Video Solution - Eng Yahia Ashraf</v>
      </c>
    </row>
    <row r="33" spans="1:13" ht="13.2" x14ac:dyDescent="0.25">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x14ac:dyDescent="0.25">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x14ac:dyDescent="0.25">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x14ac:dyDescent="0.25">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x14ac:dyDescent="0.25">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x14ac:dyDescent="0.25">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x14ac:dyDescent="0.25">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x14ac:dyDescent="0.25">
      <c r="A40" s="79" t="s">
        <v>199</v>
      </c>
      <c r="B40" s="80" t="str">
        <f>HYPERLINK("http://codeforces.com/contest/71/problem/A","CF71-D2-A")</f>
        <v>CF71-D2-A</v>
      </c>
      <c r="C40" s="48"/>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x14ac:dyDescent="0.25">
      <c r="A41" s="79" t="s">
        <v>200</v>
      </c>
      <c r="B41" s="80" t="str">
        <f>HYPERLINK("http://codeforces.com/contest/686/problem/A","CF686-D2-A")</f>
        <v>CF686-D2-A</v>
      </c>
      <c r="C41" s="48"/>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x14ac:dyDescent="0.25">
      <c r="A42" s="83" t="s">
        <v>201</v>
      </c>
      <c r="B42" s="84" t="str">
        <f>HYPERLINK("http://codeforces.com/contest/339/problem/A","CF339-D2-A")</f>
        <v>CF339-D2-A</v>
      </c>
      <c r="C42" s="48"/>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x14ac:dyDescent="0.25">
      <c r="A43" s="86" t="s">
        <v>202</v>
      </c>
      <c r="B43" s="87" t="str">
        <f>HYPERLINK("http://codeforces.com/contest/490/problem/A","CF490-D2-A")</f>
        <v>CF490-D2-A</v>
      </c>
      <c r="C43" s="101"/>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x14ac:dyDescent="0.25">
      <c r="A44" s="105" t="s">
        <v>203</v>
      </c>
      <c r="B44" s="106" t="str">
        <f>HYPERLINK("http://codeforces.com/contest/770/problem/A","CF770-D2-A")</f>
        <v>CF770-D2-A</v>
      </c>
      <c r="C44" s="48"/>
      <c r="D44" s="62"/>
      <c r="E44" s="62"/>
      <c r="F44" s="62"/>
      <c r="G44" s="62"/>
      <c r="H44" s="57"/>
      <c r="I44" s="57">
        <f t="shared" si="1"/>
        <v>0</v>
      </c>
      <c r="J44" s="96"/>
      <c r="K44" s="56"/>
      <c r="L44" s="26"/>
      <c r="M44" s="107"/>
    </row>
    <row r="45" spans="1:13" ht="13.2" x14ac:dyDescent="0.25">
      <c r="A45" s="92"/>
      <c r="B45" s="93"/>
      <c r="C45" s="48"/>
      <c r="D45" s="62"/>
      <c r="E45" s="62"/>
      <c r="F45" s="62"/>
      <c r="G45" s="62"/>
      <c r="H45" s="57"/>
      <c r="I45" s="57"/>
      <c r="J45" s="93"/>
      <c r="K45" s="56"/>
      <c r="L45" s="93"/>
      <c r="M45" s="107"/>
    </row>
    <row r="46" spans="1:13" ht="13.2" x14ac:dyDescent="0.25">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x14ac:dyDescent="0.25">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x14ac:dyDescent="0.25">
      <c r="A48" s="92"/>
      <c r="B48" s="93"/>
      <c r="C48" s="48"/>
      <c r="D48" s="62"/>
      <c r="E48" s="62"/>
      <c r="F48" s="62"/>
      <c r="G48" s="62"/>
      <c r="H48" s="57"/>
      <c r="I48" s="57"/>
      <c r="J48" s="93"/>
      <c r="K48" s="56"/>
      <c r="L48" s="93"/>
      <c r="M48" s="108" t="s">
        <v>204</v>
      </c>
    </row>
    <row r="49" spans="1:13" ht="13.2" x14ac:dyDescent="0.25">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x14ac:dyDescent="0.25">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x14ac:dyDescent="0.25">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x14ac:dyDescent="0.25">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x14ac:dyDescent="0.25">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x14ac:dyDescent="0.25">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x14ac:dyDescent="0.25">
      <c r="A55" s="105"/>
      <c r="B55" s="106"/>
      <c r="C55" s="48"/>
      <c r="D55" s="62"/>
      <c r="E55" s="62"/>
      <c r="F55" s="62"/>
      <c r="G55" s="62"/>
      <c r="H55" s="57"/>
      <c r="I55" s="57">
        <f t="shared" si="3"/>
        <v>0</v>
      </c>
      <c r="J55" s="26"/>
      <c r="K55" s="56"/>
      <c r="L55" s="26"/>
      <c r="M55" s="117"/>
    </row>
    <row r="56" spans="1:13" ht="13.2" x14ac:dyDescent="0.25">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x14ac:dyDescent="0.25">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x14ac:dyDescent="0.25">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x14ac:dyDescent="0.25">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x14ac:dyDescent="0.25">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x14ac:dyDescent="0.25">
      <c r="A61" s="79" t="s">
        <v>215</v>
      </c>
      <c r="B61" s="80" t="str">
        <f>HYPERLINK("http://codeforces.com/contest/520/problem/A","CF520-D2-A")</f>
        <v>CF520-D2-A</v>
      </c>
      <c r="C61" s="48"/>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x14ac:dyDescent="0.25">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x14ac:dyDescent="0.25">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x14ac:dyDescent="0.25">
      <c r="A64" s="26"/>
      <c r="B64" s="26"/>
      <c r="C64" s="48"/>
      <c r="D64" s="62"/>
      <c r="E64" s="62"/>
      <c r="F64" s="62"/>
      <c r="G64" s="62"/>
      <c r="H64" s="57"/>
      <c r="I64" s="57">
        <f t="shared" si="3"/>
        <v>0</v>
      </c>
      <c r="J64" s="26"/>
      <c r="K64" s="56"/>
      <c r="L64" s="26"/>
      <c r="M64" s="121"/>
    </row>
    <row r="65" spans="1:13" ht="13.2" x14ac:dyDescent="0.25">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x14ac:dyDescent="0.25">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x14ac:dyDescent="0.25">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x14ac:dyDescent="0.25">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x14ac:dyDescent="0.25">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x14ac:dyDescent="0.25">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x14ac:dyDescent="0.25">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x14ac:dyDescent="0.25">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x14ac:dyDescent="0.25">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x14ac:dyDescent="0.25">
      <c r="A74" s="126"/>
      <c r="B74" s="80"/>
      <c r="C74" s="48"/>
      <c r="D74" s="62"/>
      <c r="E74" s="62"/>
      <c r="F74" s="62"/>
      <c r="G74" s="62"/>
      <c r="H74" s="57"/>
      <c r="I74" s="57">
        <f t="shared" si="3"/>
        <v>0</v>
      </c>
      <c r="J74" s="93"/>
      <c r="K74" s="56"/>
      <c r="L74" s="93"/>
      <c r="M74" s="92"/>
    </row>
    <row r="75" spans="1:13" ht="13.2" x14ac:dyDescent="0.25">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x14ac:dyDescent="0.25">
      <c r="A76" s="86" t="s">
        <v>225</v>
      </c>
      <c r="B76" s="87" t="str">
        <f>HYPERLINK("http://codeforces.com/contest/469/problem/A","CF469-D2-A")</f>
        <v>CF469-D2-A</v>
      </c>
      <c r="C76" s="92"/>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x14ac:dyDescent="0.25">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x14ac:dyDescent="0.25">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x14ac:dyDescent="0.25">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x14ac:dyDescent="0.25">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x14ac:dyDescent="0.25">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x14ac:dyDescent="0.25">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x14ac:dyDescent="0.25">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x14ac:dyDescent="0.25">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x14ac:dyDescent="0.25">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x14ac:dyDescent="0.25">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x14ac:dyDescent="0.25">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x14ac:dyDescent="0.25">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x14ac:dyDescent="0.25">
      <c r="A89" s="129"/>
      <c r="B89" s="130"/>
      <c r="C89" s="48"/>
      <c r="D89" s="62"/>
      <c r="E89" s="62"/>
      <c r="F89" s="62"/>
      <c r="G89" s="62"/>
      <c r="H89" s="57"/>
      <c r="I89" s="57">
        <f t="shared" si="3"/>
        <v>0</v>
      </c>
      <c r="J89" s="62"/>
      <c r="K89" s="56"/>
      <c r="L89" s="62"/>
      <c r="M89" s="67"/>
    </row>
    <row r="90" spans="1:13" ht="13.2" x14ac:dyDescent="0.25">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x14ac:dyDescent="0.25">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x14ac:dyDescent="0.25">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x14ac:dyDescent="0.25">
      <c r="A93" s="134" t="s">
        <v>238</v>
      </c>
      <c r="B93" s="135" t="str">
        <f>HYPERLINK("http://codeforces.com/contest/127/problem/A","CF127-D2-A")</f>
        <v>CF127-D2-A</v>
      </c>
      <c r="C93" s="48"/>
      <c r="D93" s="62"/>
      <c r="E93" s="62"/>
      <c r="F93" s="62"/>
      <c r="G93" s="62"/>
      <c r="H93" s="57"/>
      <c r="I93" s="57">
        <f t="shared" si="3"/>
        <v>0</v>
      </c>
      <c r="J93" s="26"/>
      <c r="K93" s="56"/>
      <c r="L93" s="26"/>
      <c r="M93" s="26"/>
    </row>
    <row r="94" spans="1:13" ht="13.2" x14ac:dyDescent="0.25">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x14ac:dyDescent="0.25">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x14ac:dyDescent="0.25">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x14ac:dyDescent="0.25">
      <c r="A97" s="134" t="s">
        <v>242</v>
      </c>
      <c r="B97" s="135" t="str">
        <f>HYPERLINK("http://codeforces.com/contest/667/problem/A","CF667-D2-A")</f>
        <v>CF667-D2-A</v>
      </c>
      <c r="C97" s="48"/>
      <c r="D97" s="62"/>
      <c r="E97" s="62"/>
      <c r="F97" s="62"/>
      <c r="G97" s="62"/>
      <c r="H97" s="57"/>
      <c r="I97" s="57">
        <f t="shared" si="3"/>
        <v>0</v>
      </c>
      <c r="J97" s="26"/>
      <c r="K97" s="56"/>
      <c r="L97" s="26"/>
      <c r="M97" s="26"/>
    </row>
    <row r="98" spans="1:13" ht="13.2" x14ac:dyDescent="0.25">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x14ac:dyDescent="0.25">
      <c r="A99" s="132"/>
      <c r="B99" s="133"/>
      <c r="C99" s="48"/>
      <c r="D99" s="62"/>
      <c r="E99" s="62"/>
      <c r="F99" s="62"/>
      <c r="G99" s="62"/>
      <c r="H99" s="57"/>
      <c r="I99" s="57">
        <f t="shared" si="3"/>
        <v>0</v>
      </c>
      <c r="J99" s="136"/>
      <c r="K99" s="56"/>
      <c r="L99" s="136"/>
      <c r="M99" s="132"/>
    </row>
    <row r="100" spans="1:13" ht="13.2" x14ac:dyDescent="0.25">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x14ac:dyDescent="0.25">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x14ac:dyDescent="0.25">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x14ac:dyDescent="0.25">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x14ac:dyDescent="0.25">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x14ac:dyDescent="0.25">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x14ac:dyDescent="0.25">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x14ac:dyDescent="0.25">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x14ac:dyDescent="0.25">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x14ac:dyDescent="0.25">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x14ac:dyDescent="0.25">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x14ac:dyDescent="0.25">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x14ac:dyDescent="0.25">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x14ac:dyDescent="0.25">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x14ac:dyDescent="0.25">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x14ac:dyDescent="0.25">
      <c r="A115" s="132"/>
      <c r="B115" s="133"/>
      <c r="C115" s="48"/>
      <c r="D115" s="62"/>
      <c r="E115" s="62"/>
      <c r="F115" s="62"/>
      <c r="G115" s="62"/>
      <c r="H115" s="57"/>
      <c r="I115" s="57">
        <f t="shared" si="3"/>
        <v>0</v>
      </c>
      <c r="J115" s="136"/>
      <c r="K115" s="56"/>
      <c r="L115" s="136"/>
      <c r="M115" s="66"/>
    </row>
    <row r="116" spans="1:13" ht="13.2" x14ac:dyDescent="0.25">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x14ac:dyDescent="0.25">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x14ac:dyDescent="0.25">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x14ac:dyDescent="0.25">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x14ac:dyDescent="0.25">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x14ac:dyDescent="0.25">
      <c r="A121" s="149"/>
      <c r="B121" s="150"/>
      <c r="C121" s="151"/>
      <c r="D121" s="152"/>
      <c r="E121" s="152"/>
      <c r="F121" s="152"/>
      <c r="G121" s="152"/>
      <c r="H121" s="153"/>
      <c r="I121" s="153">
        <f t="shared" ref="I121:I123" si="4">SUM(E121:G121)</f>
        <v>0</v>
      </c>
      <c r="J121" s="152"/>
      <c r="K121" s="152"/>
      <c r="L121" s="152"/>
      <c r="M121" s="149"/>
    </row>
    <row r="122" spans="1:13" ht="13.2" x14ac:dyDescent="0.25">
      <c r="A122" s="90"/>
      <c r="B122" s="91"/>
      <c r="C122" s="48"/>
      <c r="D122" s="480" t="s">
        <v>263</v>
      </c>
      <c r="E122" s="461"/>
      <c r="F122" s="461"/>
      <c r="G122" s="461"/>
      <c r="H122" s="57"/>
      <c r="I122" s="57">
        <f t="shared" si="4"/>
        <v>0</v>
      </c>
      <c r="J122" s="481" t="s">
        <v>264</v>
      </c>
      <c r="K122" s="461"/>
      <c r="L122" s="461"/>
      <c r="M122" s="461"/>
    </row>
    <row r="123" spans="1:13" ht="13.2" x14ac:dyDescent="0.25">
      <c r="A123" s="149"/>
      <c r="B123" s="150"/>
      <c r="C123" s="151"/>
      <c r="D123" s="152"/>
      <c r="E123" s="152"/>
      <c r="F123" s="152"/>
      <c r="G123" s="152"/>
      <c r="H123" s="153"/>
      <c r="I123" s="153">
        <f t="shared" si="4"/>
        <v>0</v>
      </c>
      <c r="J123" s="152"/>
      <c r="K123" s="152"/>
      <c r="L123" s="152"/>
      <c r="M123" s="149"/>
    </row>
    <row r="124" spans="1:13" ht="13.2" x14ac:dyDescent="0.25">
      <c r="A124" s="86" t="s">
        <v>265</v>
      </c>
      <c r="B124" s="87" t="str">
        <f>HYPERLINK("http://codeforces.com/contest/281/problem/A","CF281-D2-A")</f>
        <v>CF281-D2-A</v>
      </c>
      <c r="C124" s="92"/>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x14ac:dyDescent="0.25">
      <c r="A125" s="86" t="s">
        <v>266</v>
      </c>
      <c r="B125" s="87" t="str">
        <f>HYPERLINK("http://codeforces.com/contest/158/problem/A","CF158-D12-A")</f>
        <v>CF158-D12-A</v>
      </c>
      <c r="C125" s="92"/>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x14ac:dyDescent="0.25">
      <c r="A126" s="86" t="s">
        <v>267</v>
      </c>
      <c r="B126" s="87" t="str">
        <f>HYPERLINK("http://codeforces.com/contest/69/problem/A","CF69-D2-A")</f>
        <v>CF69-D2-A</v>
      </c>
      <c r="C126" s="92"/>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x14ac:dyDescent="0.25">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x14ac:dyDescent="0.25">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x14ac:dyDescent="0.25">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x14ac:dyDescent="0.25">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x14ac:dyDescent="0.25">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x14ac:dyDescent="0.25">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x14ac:dyDescent="0.25">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x14ac:dyDescent="0.25">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x14ac:dyDescent="0.25">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x14ac:dyDescent="0.25">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x14ac:dyDescent="0.25">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x14ac:dyDescent="0.25">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x14ac:dyDescent="0.25">
      <c r="A139" s="68" t="s">
        <v>280</v>
      </c>
      <c r="B139" s="155" t="str">
        <f>HYPERLINK("http://codeforces.com/contest/61/problem/A","CF61-D2-A")</f>
        <v>CF61-D2-A</v>
      </c>
      <c r="C139" s="48"/>
      <c r="D139" s="62"/>
      <c r="E139" s="62"/>
      <c r="F139" s="62"/>
      <c r="G139" s="62"/>
      <c r="H139" s="57"/>
      <c r="I139" s="57">
        <f t="shared" si="5"/>
        <v>0</v>
      </c>
      <c r="J139" s="154"/>
      <c r="K139" s="56"/>
      <c r="L139" s="154"/>
      <c r="M139" s="90"/>
    </row>
    <row r="140" spans="1:13" ht="13.2" x14ac:dyDescent="0.25">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x14ac:dyDescent="0.25">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x14ac:dyDescent="0.25">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x14ac:dyDescent="0.25">
      <c r="A143" s="68"/>
      <c r="B143" s="133"/>
      <c r="C143" s="48"/>
      <c r="D143" s="62"/>
      <c r="E143" s="62"/>
      <c r="F143" s="62"/>
      <c r="G143" s="62"/>
      <c r="H143" s="57"/>
      <c r="I143" s="57">
        <f t="shared" si="5"/>
        <v>0</v>
      </c>
      <c r="J143" s="154"/>
      <c r="K143" s="56"/>
      <c r="L143" s="154"/>
      <c r="M143" s="90"/>
    </row>
    <row r="144" spans="1:13" ht="13.2" x14ac:dyDescent="0.25">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x14ac:dyDescent="0.25">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x14ac:dyDescent="0.25">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x14ac:dyDescent="0.25">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x14ac:dyDescent="0.25">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x14ac:dyDescent="0.25">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x14ac:dyDescent="0.25">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x14ac:dyDescent="0.25">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x14ac:dyDescent="0.25">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x14ac:dyDescent="0.25">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x14ac:dyDescent="0.25">
      <c r="A154" s="68"/>
      <c r="B154" s="133"/>
      <c r="C154" s="48"/>
      <c r="D154" s="62"/>
      <c r="E154" s="62"/>
      <c r="F154" s="62"/>
      <c r="G154" s="62"/>
      <c r="H154" s="57"/>
      <c r="I154" s="57">
        <f t="shared" si="5"/>
        <v>0</v>
      </c>
      <c r="J154" s="154"/>
      <c r="K154" s="56"/>
      <c r="L154" s="154"/>
      <c r="M154" s="93"/>
    </row>
    <row r="155" spans="1:13" ht="13.2" x14ac:dyDescent="0.25">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x14ac:dyDescent="0.25">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x14ac:dyDescent="0.25">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x14ac:dyDescent="0.25">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x14ac:dyDescent="0.25">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x14ac:dyDescent="0.25">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x14ac:dyDescent="0.25">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x14ac:dyDescent="0.25">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x14ac:dyDescent="0.25">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x14ac:dyDescent="0.25">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x14ac:dyDescent="0.25">
      <c r="A165" s="68"/>
      <c r="B165" s="133"/>
      <c r="C165" s="48"/>
      <c r="D165" s="62"/>
      <c r="E165" s="62"/>
      <c r="F165" s="62"/>
      <c r="G165" s="62"/>
      <c r="H165" s="57"/>
      <c r="I165" s="57">
        <f t="shared" si="5"/>
        <v>0</v>
      </c>
      <c r="J165" s="154"/>
      <c r="K165" s="56"/>
      <c r="L165" s="154"/>
      <c r="M165" s="90"/>
    </row>
    <row r="166" spans="1:13" ht="13.2" x14ac:dyDescent="0.25">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x14ac:dyDescent="0.25">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x14ac:dyDescent="0.25">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x14ac:dyDescent="0.25">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x14ac:dyDescent="0.25">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x14ac:dyDescent="0.25">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x14ac:dyDescent="0.25">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x14ac:dyDescent="0.25">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x14ac:dyDescent="0.25">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x14ac:dyDescent="0.25">
      <c r="A175" s="68"/>
      <c r="B175" s="133"/>
      <c r="C175" s="48"/>
      <c r="D175" s="62"/>
      <c r="E175" s="62"/>
      <c r="F175" s="62"/>
      <c r="G175" s="62"/>
      <c r="H175" s="57"/>
      <c r="I175" s="57">
        <f t="shared" si="5"/>
        <v>0</v>
      </c>
      <c r="J175" s="154"/>
      <c r="K175" s="56"/>
      <c r="L175" s="154"/>
      <c r="M175" s="26"/>
    </row>
    <row r="176" spans="1:13" ht="13.2" x14ac:dyDescent="0.25">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x14ac:dyDescent="0.25">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x14ac:dyDescent="0.25">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x14ac:dyDescent="0.25">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x14ac:dyDescent="0.25">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x14ac:dyDescent="0.25">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x14ac:dyDescent="0.25">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x14ac:dyDescent="0.25">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x14ac:dyDescent="0.25">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x14ac:dyDescent="0.25">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x14ac:dyDescent="0.25">
      <c r="A186" s="68"/>
      <c r="B186" s="133"/>
      <c r="C186" s="48"/>
      <c r="D186" s="62"/>
      <c r="E186" s="62"/>
      <c r="F186" s="62"/>
      <c r="G186" s="62"/>
      <c r="H186" s="57"/>
      <c r="I186" s="57">
        <f t="shared" si="5"/>
        <v>0</v>
      </c>
      <c r="J186" s="154"/>
      <c r="K186" s="56"/>
      <c r="L186" s="154"/>
      <c r="M186" s="90"/>
    </row>
    <row r="187" spans="1:13" ht="13.2" x14ac:dyDescent="0.25">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x14ac:dyDescent="0.25">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x14ac:dyDescent="0.25">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x14ac:dyDescent="0.25">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x14ac:dyDescent="0.25">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x14ac:dyDescent="0.25">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x14ac:dyDescent="0.25">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x14ac:dyDescent="0.25">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x14ac:dyDescent="0.25">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x14ac:dyDescent="0.25">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x14ac:dyDescent="0.25">
      <c r="A197" s="86"/>
      <c r="B197" s="87"/>
      <c r="C197" s="48"/>
      <c r="D197" s="62"/>
      <c r="E197" s="62"/>
      <c r="F197" s="62"/>
      <c r="G197" s="62"/>
      <c r="H197" s="57"/>
      <c r="I197" s="57">
        <f t="shared" si="5"/>
        <v>0</v>
      </c>
      <c r="J197" s="154"/>
      <c r="K197" s="56"/>
      <c r="L197" s="154"/>
      <c r="M197" s="90"/>
    </row>
    <row r="198" spans="1:13" ht="13.2" x14ac:dyDescent="0.25">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x14ac:dyDescent="0.25">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x14ac:dyDescent="0.25">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x14ac:dyDescent="0.25">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x14ac:dyDescent="0.25">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x14ac:dyDescent="0.25">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x14ac:dyDescent="0.25">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x14ac:dyDescent="0.25">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x14ac:dyDescent="0.25">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x14ac:dyDescent="0.25">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x14ac:dyDescent="0.25">
      <c r="A208" s="68"/>
      <c r="B208" s="133"/>
      <c r="C208" s="48"/>
      <c r="D208" s="62"/>
      <c r="E208" s="62"/>
      <c r="F208" s="62"/>
      <c r="G208" s="62"/>
      <c r="H208" s="57"/>
      <c r="I208" s="57">
        <f t="shared" si="5"/>
        <v>0</v>
      </c>
      <c r="J208" s="154"/>
      <c r="K208" s="56"/>
      <c r="L208" s="154"/>
      <c r="M208" s="90"/>
    </row>
    <row r="209" spans="1:13" ht="13.2" x14ac:dyDescent="0.25">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x14ac:dyDescent="0.25">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x14ac:dyDescent="0.25">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x14ac:dyDescent="0.25">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x14ac:dyDescent="0.25">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x14ac:dyDescent="0.25">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x14ac:dyDescent="0.25">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x14ac:dyDescent="0.25">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x14ac:dyDescent="0.25">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x14ac:dyDescent="0.25">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x14ac:dyDescent="0.25">
      <c r="A219" s="68"/>
      <c r="B219" s="133"/>
      <c r="C219" s="48"/>
      <c r="D219" s="62"/>
      <c r="E219" s="62"/>
      <c r="F219" s="62"/>
      <c r="G219" s="62"/>
      <c r="H219" s="57"/>
      <c r="I219" s="57">
        <f t="shared" si="5"/>
        <v>0</v>
      </c>
      <c r="J219" s="154"/>
      <c r="K219" s="56"/>
      <c r="L219" s="154"/>
      <c r="M219" s="90"/>
    </row>
    <row r="220" spans="1:13" ht="13.2" x14ac:dyDescent="0.25">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x14ac:dyDescent="0.25">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x14ac:dyDescent="0.25">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x14ac:dyDescent="0.25">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x14ac:dyDescent="0.25">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x14ac:dyDescent="0.25">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x14ac:dyDescent="0.25">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x14ac:dyDescent="0.25">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x14ac:dyDescent="0.25">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x14ac:dyDescent="0.25">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x14ac:dyDescent="0.25">
      <c r="A230" s="68"/>
      <c r="B230" s="133"/>
      <c r="C230" s="48"/>
      <c r="D230" s="62"/>
      <c r="E230" s="62"/>
      <c r="F230" s="62"/>
      <c r="G230" s="62"/>
      <c r="H230" s="57"/>
      <c r="I230" s="57">
        <f t="shared" si="5"/>
        <v>0</v>
      </c>
      <c r="J230" s="154"/>
      <c r="K230" s="56"/>
      <c r="L230" s="154"/>
      <c r="M230" s="90"/>
    </row>
    <row r="231" spans="1:13" ht="13.2" x14ac:dyDescent="0.25">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x14ac:dyDescent="0.25">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x14ac:dyDescent="0.25">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x14ac:dyDescent="0.25">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x14ac:dyDescent="0.25">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x14ac:dyDescent="0.25">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x14ac:dyDescent="0.25">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x14ac:dyDescent="0.25">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x14ac:dyDescent="0.25">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x14ac:dyDescent="0.25">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x14ac:dyDescent="0.25">
      <c r="A241" s="68"/>
      <c r="B241" s="133"/>
      <c r="C241" s="48"/>
      <c r="D241" s="62"/>
      <c r="E241" s="62"/>
      <c r="F241" s="62"/>
      <c r="G241" s="62"/>
      <c r="H241" s="57"/>
      <c r="I241" s="57">
        <f t="shared" si="5"/>
        <v>0</v>
      </c>
      <c r="J241" s="154"/>
      <c r="K241" s="56"/>
      <c r="L241" s="154"/>
      <c r="M241" s="90"/>
    </row>
    <row r="242" spans="1:13" ht="13.2" x14ac:dyDescent="0.25">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x14ac:dyDescent="0.25">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x14ac:dyDescent="0.25">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x14ac:dyDescent="0.25">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x14ac:dyDescent="0.25">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x14ac:dyDescent="0.25">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x14ac:dyDescent="0.25">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x14ac:dyDescent="0.25">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x14ac:dyDescent="0.25">
      <c r="A250" s="68" t="s">
        <v>381</v>
      </c>
      <c r="B250" s="155" t="str">
        <f>HYPERLINK("http://codeforces.com/contest/75/problem/A","CF75-D2-A")</f>
        <v>CF75-D2-A</v>
      </c>
      <c r="C250" s="48"/>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4" sqref="B4"/>
    </sheetView>
  </sheetViews>
  <sheetFormatPr defaultColWidth="17.33203125" defaultRowHeight="15.75" customHeight="1" x14ac:dyDescent="0.25"/>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x14ac:dyDescent="0.25">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x14ac:dyDescent="0.25">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x14ac:dyDescent="0.25">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x14ac:dyDescent="0.25">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x14ac:dyDescent="0.25">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x14ac:dyDescent="0.25">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x14ac:dyDescent="0.25">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x14ac:dyDescent="0.25">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x14ac:dyDescent="0.25">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x14ac:dyDescent="0.25">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x14ac:dyDescent="0.25">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x14ac:dyDescent="0.25">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x14ac:dyDescent="0.25">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x14ac:dyDescent="0.25">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x14ac:dyDescent="0.25">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x14ac:dyDescent="0.25">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x14ac:dyDescent="0.25">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x14ac:dyDescent="0.25">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x14ac:dyDescent="0.25">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x14ac:dyDescent="0.25">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x14ac:dyDescent="0.25">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x14ac:dyDescent="0.25">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x14ac:dyDescent="0.25">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x14ac:dyDescent="0.25">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x14ac:dyDescent="0.25">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x14ac:dyDescent="0.25">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x14ac:dyDescent="0.25">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x14ac:dyDescent="0.25">
      <c r="A28" s="127" t="s">
        <v>400</v>
      </c>
      <c r="B28" s="168" t="str">
        <f>HYPERLINK("http://codeforces.com/contest/433/problem/B","CF433-D2-B")</f>
        <v>CF433-D2-B</v>
      </c>
      <c r="C28" s="29"/>
      <c r="D28" s="29"/>
      <c r="E28" s="29"/>
      <c r="F28" s="29"/>
      <c r="G28" s="29"/>
      <c r="H28" s="29"/>
      <c r="I28" s="103">
        <f t="shared" si="0"/>
        <v>0</v>
      </c>
      <c r="J28" s="93"/>
      <c r="K28" s="92"/>
      <c r="L28" s="29"/>
      <c r="M28" s="26"/>
    </row>
    <row r="29" spans="1:13" ht="13.2" x14ac:dyDescent="0.25">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x14ac:dyDescent="0.25">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x14ac:dyDescent="0.25">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x14ac:dyDescent="0.25">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x14ac:dyDescent="0.25">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x14ac:dyDescent="0.25">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x14ac:dyDescent="0.25">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x14ac:dyDescent="0.25">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x14ac:dyDescent="0.25">
      <c r="A37" s="163"/>
      <c r="B37" s="164"/>
      <c r="C37" s="159"/>
      <c r="D37" s="159"/>
      <c r="E37" s="159"/>
      <c r="F37" s="159"/>
      <c r="G37" s="159"/>
      <c r="H37" s="160"/>
      <c r="I37" s="57">
        <f t="shared" si="0"/>
        <v>0</v>
      </c>
      <c r="J37" s="62"/>
      <c r="K37" s="56"/>
      <c r="L37" s="159"/>
      <c r="M37" s="165"/>
    </row>
    <row r="38" spans="1:13" ht="13.2" x14ac:dyDescent="0.25">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x14ac:dyDescent="0.25">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x14ac:dyDescent="0.25">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x14ac:dyDescent="0.25">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x14ac:dyDescent="0.25">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x14ac:dyDescent="0.25">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x14ac:dyDescent="0.25">
      <c r="A44" s="114"/>
      <c r="B44" s="179" t="s">
        <v>414</v>
      </c>
      <c r="C44" s="159"/>
      <c r="D44" s="159"/>
      <c r="E44" s="159"/>
      <c r="F44" s="159"/>
      <c r="G44" s="159"/>
      <c r="H44" s="160"/>
      <c r="I44" s="57">
        <f t="shared" si="0"/>
        <v>0</v>
      </c>
      <c r="J44" s="62"/>
      <c r="K44" s="56"/>
      <c r="L44" s="159"/>
      <c r="M44" s="117"/>
    </row>
    <row r="45" spans="1:13" ht="13.2" x14ac:dyDescent="0.25">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x14ac:dyDescent="0.25">
      <c r="A46" s="163"/>
      <c r="B46" s="164"/>
      <c r="C46" s="159"/>
      <c r="D46" s="159"/>
      <c r="E46" s="159"/>
      <c r="F46" s="159"/>
      <c r="G46" s="159"/>
      <c r="H46" s="160"/>
      <c r="I46" s="57">
        <f t="shared" si="0"/>
        <v>0</v>
      </c>
      <c r="J46" s="62"/>
      <c r="K46" s="56"/>
      <c r="L46" s="159"/>
      <c r="M46" s="127"/>
    </row>
    <row r="47" spans="1:13" ht="13.2" x14ac:dyDescent="0.25">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x14ac:dyDescent="0.25">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x14ac:dyDescent="0.25">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x14ac:dyDescent="0.25">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x14ac:dyDescent="0.25">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x14ac:dyDescent="0.25">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x14ac:dyDescent="0.25">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x14ac:dyDescent="0.25">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x14ac:dyDescent="0.25">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x14ac:dyDescent="0.25">
      <c r="A56" s="163"/>
      <c r="B56" s="164"/>
      <c r="C56" s="159"/>
      <c r="D56" s="159"/>
      <c r="E56" s="159"/>
      <c r="F56" s="159"/>
      <c r="G56" s="159"/>
      <c r="H56" s="160"/>
      <c r="I56" s="57"/>
      <c r="J56" s="62"/>
      <c r="K56" s="56"/>
      <c r="L56" s="159"/>
      <c r="M56" s="162" t="s">
        <v>425</v>
      </c>
    </row>
    <row r="57" spans="1:13" ht="13.2" x14ac:dyDescent="0.25">
      <c r="A57" s="163"/>
      <c r="B57" s="164"/>
      <c r="C57" s="159"/>
      <c r="D57" s="159"/>
      <c r="E57" s="159"/>
      <c r="F57" s="159"/>
      <c r="G57" s="159"/>
      <c r="H57" s="160"/>
      <c r="I57" s="57">
        <f>SUM(E57:H57)</f>
        <v>0</v>
      </c>
      <c r="J57" s="62"/>
      <c r="K57" s="56"/>
      <c r="L57" s="159"/>
      <c r="M57" s="162" t="s">
        <v>426</v>
      </c>
    </row>
    <row r="58" spans="1:13" ht="13.2" x14ac:dyDescent="0.25">
      <c r="A58" s="163"/>
      <c r="B58" s="164"/>
      <c r="C58" s="159"/>
      <c r="D58" s="159"/>
      <c r="E58" s="159"/>
      <c r="F58" s="159"/>
      <c r="G58" s="159"/>
      <c r="H58" s="160"/>
      <c r="I58" s="57"/>
      <c r="J58" s="62"/>
      <c r="K58" s="56"/>
      <c r="L58" s="159"/>
      <c r="M58" s="162"/>
    </row>
    <row r="59" spans="1:13" ht="13.2" x14ac:dyDescent="0.25">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x14ac:dyDescent="0.25">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x14ac:dyDescent="0.25">
      <c r="A61" s="122" t="s">
        <v>427</v>
      </c>
      <c r="B61" s="182" t="str">
        <f>HYPERLINK("http://codeforces.com/contest/699/problem/C","CF699-D2-C")</f>
        <v>CF699-D2-C</v>
      </c>
      <c r="C61" s="29"/>
      <c r="D61" s="29"/>
      <c r="E61" s="29"/>
      <c r="F61" s="29"/>
      <c r="G61" s="29"/>
      <c r="H61" s="160"/>
      <c r="I61" s="57">
        <f t="shared" si="1"/>
        <v>0</v>
      </c>
      <c r="J61" s="62"/>
      <c r="K61" s="56"/>
      <c r="L61" s="29"/>
      <c r="M61" s="26"/>
    </row>
    <row r="62" spans="1:13" ht="13.2" x14ac:dyDescent="0.25">
      <c r="A62" s="122" t="s">
        <v>428</v>
      </c>
      <c r="B62" s="182" t="str">
        <f>HYPERLINK("http://codeforces.com/contest/545/problem/C","CF545-D2-C")</f>
        <v>CF545-D2-C</v>
      </c>
      <c r="C62" s="29"/>
      <c r="D62" s="29"/>
      <c r="E62" s="29"/>
      <c r="F62" s="29"/>
      <c r="G62" s="29"/>
      <c r="H62" s="160"/>
      <c r="I62" s="57">
        <f t="shared" si="1"/>
        <v>0</v>
      </c>
      <c r="J62" s="62"/>
      <c r="K62" s="56"/>
      <c r="L62" s="29"/>
      <c r="M62" s="29"/>
    </row>
    <row r="63" spans="1:13" ht="13.2" x14ac:dyDescent="0.25">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x14ac:dyDescent="0.25">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x14ac:dyDescent="0.25">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x14ac:dyDescent="0.25">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x14ac:dyDescent="0.25">
      <c r="A67" s="163"/>
      <c r="B67" s="164"/>
      <c r="C67" s="159"/>
      <c r="D67" s="159"/>
      <c r="E67" s="159"/>
      <c r="F67" s="159"/>
      <c r="G67" s="159"/>
      <c r="H67" s="160"/>
      <c r="I67" s="57">
        <f t="shared" si="1"/>
        <v>0</v>
      </c>
      <c r="J67" s="62"/>
      <c r="K67" s="56"/>
      <c r="L67" s="159"/>
      <c r="M67" s="127"/>
    </row>
    <row r="68" spans="1:13" ht="13.2" x14ac:dyDescent="0.25">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x14ac:dyDescent="0.25">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x14ac:dyDescent="0.25">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x14ac:dyDescent="0.25">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x14ac:dyDescent="0.25">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x14ac:dyDescent="0.25">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x14ac:dyDescent="0.25">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x14ac:dyDescent="0.25">
      <c r="A75" s="86" t="s">
        <v>440</v>
      </c>
      <c r="B75" s="185" t="str">
        <f>HYPERLINK("http://codeforces.com/contest/514/problem/B","CF514-D2-B")</f>
        <v>CF514-D2-B</v>
      </c>
      <c r="C75" s="29"/>
      <c r="D75" s="29"/>
      <c r="E75" s="29"/>
      <c r="F75" s="29"/>
      <c r="G75" s="29"/>
      <c r="H75" s="160"/>
      <c r="I75" s="57">
        <f t="shared" si="1"/>
        <v>0</v>
      </c>
      <c r="J75" s="62"/>
      <c r="K75" s="56"/>
      <c r="L75" s="29"/>
      <c r="M75" s="26"/>
    </row>
    <row r="76" spans="1:13" ht="13.2" x14ac:dyDescent="0.25">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x14ac:dyDescent="0.25">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x14ac:dyDescent="0.25">
      <c r="A78" s="163"/>
      <c r="B78" s="164"/>
      <c r="C78" s="29"/>
      <c r="D78" s="29"/>
      <c r="E78" s="29"/>
      <c r="F78" s="29"/>
      <c r="G78" s="29"/>
      <c r="H78" s="160"/>
      <c r="I78" s="57">
        <f t="shared" si="1"/>
        <v>0</v>
      </c>
      <c r="J78" s="62"/>
      <c r="K78" s="56"/>
      <c r="L78" s="159"/>
      <c r="M78" s="165"/>
    </row>
    <row r="79" spans="1:13" ht="13.2" x14ac:dyDescent="0.25">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x14ac:dyDescent="0.25">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x14ac:dyDescent="0.25">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x14ac:dyDescent="0.25">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x14ac:dyDescent="0.25">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x14ac:dyDescent="0.25">
      <c r="A84" s="163"/>
      <c r="B84" s="164"/>
      <c r="C84" s="159"/>
      <c r="D84" s="159"/>
      <c r="E84" s="159"/>
      <c r="F84" s="159"/>
      <c r="G84" s="159"/>
      <c r="H84" s="160"/>
      <c r="I84" s="57">
        <f t="shared" si="1"/>
        <v>0</v>
      </c>
      <c r="J84" s="62"/>
      <c r="K84" s="56"/>
      <c r="L84" s="159"/>
      <c r="M84" s="86"/>
    </row>
    <row r="85" spans="1:13" ht="13.2" x14ac:dyDescent="0.25">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x14ac:dyDescent="0.25">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x14ac:dyDescent="0.25">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x14ac:dyDescent="0.25">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x14ac:dyDescent="0.25">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x14ac:dyDescent="0.25">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x14ac:dyDescent="0.25">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x14ac:dyDescent="0.25">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x14ac:dyDescent="0.25">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x14ac:dyDescent="0.25">
      <c r="A94" s="163"/>
      <c r="B94" s="164"/>
      <c r="C94" s="29"/>
      <c r="D94" s="29"/>
      <c r="E94" s="29"/>
      <c r="F94" s="29"/>
      <c r="G94" s="29"/>
      <c r="H94" s="160"/>
      <c r="I94" s="57">
        <f t="shared" si="1"/>
        <v>0</v>
      </c>
      <c r="J94" s="62"/>
      <c r="K94" s="56"/>
      <c r="L94" s="159"/>
      <c r="M94" s="165"/>
    </row>
    <row r="95" spans="1:13" ht="13.2" x14ac:dyDescent="0.25">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x14ac:dyDescent="0.25">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x14ac:dyDescent="0.25">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x14ac:dyDescent="0.25">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x14ac:dyDescent="0.25">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x14ac:dyDescent="0.25">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x14ac:dyDescent="0.25">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x14ac:dyDescent="0.25">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x14ac:dyDescent="0.25">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x14ac:dyDescent="0.25">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x14ac:dyDescent="0.25">
      <c r="A105" s="163"/>
      <c r="B105" s="164"/>
      <c r="C105" s="159"/>
      <c r="D105" s="159"/>
      <c r="E105" s="159"/>
      <c r="F105" s="159"/>
      <c r="G105" s="159"/>
      <c r="H105" s="160"/>
      <c r="I105" s="57">
        <f t="shared" si="1"/>
        <v>0</v>
      </c>
      <c r="J105" s="62"/>
      <c r="K105" s="56"/>
      <c r="L105" s="159"/>
      <c r="M105" s="127"/>
    </row>
    <row r="106" spans="1:13" ht="13.2" x14ac:dyDescent="0.25">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x14ac:dyDescent="0.25">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x14ac:dyDescent="0.25">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x14ac:dyDescent="0.25">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x14ac:dyDescent="0.25">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x14ac:dyDescent="0.25">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x14ac:dyDescent="0.25">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x14ac:dyDescent="0.25">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x14ac:dyDescent="0.25">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x14ac:dyDescent="0.25">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x14ac:dyDescent="0.25">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x14ac:dyDescent="0.25">
      <c r="A117" s="188"/>
      <c r="B117" s="111"/>
      <c r="C117" s="29"/>
      <c r="D117" s="29"/>
      <c r="E117" s="29"/>
      <c r="F117" s="29"/>
      <c r="G117" s="29"/>
      <c r="H117" s="29"/>
      <c r="I117" s="103">
        <f t="shared" si="1"/>
        <v>0</v>
      </c>
      <c r="J117" s="93"/>
      <c r="K117" s="92"/>
      <c r="L117" s="29"/>
      <c r="M117" s="117"/>
    </row>
    <row r="118" spans="1:13" ht="13.2" x14ac:dyDescent="0.25">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x14ac:dyDescent="0.25">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x14ac:dyDescent="0.25">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x14ac:dyDescent="0.25">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x14ac:dyDescent="0.25">
      <c r="A122" s="29"/>
      <c r="B122" s="29"/>
      <c r="C122" s="29"/>
      <c r="D122" s="29"/>
      <c r="E122" s="29"/>
      <c r="F122" s="29"/>
      <c r="G122" s="29"/>
      <c r="H122" s="160"/>
      <c r="I122" s="57">
        <f t="shared" si="1"/>
        <v>0</v>
      </c>
      <c r="J122" s="62"/>
      <c r="K122" s="56"/>
      <c r="L122" s="29"/>
      <c r="M122" s="165"/>
    </row>
    <row r="123" spans="1:13" ht="13.2" x14ac:dyDescent="0.25">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x14ac:dyDescent="0.25">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x14ac:dyDescent="0.25">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x14ac:dyDescent="0.25">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x14ac:dyDescent="0.25">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x14ac:dyDescent="0.25">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x14ac:dyDescent="0.25">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x14ac:dyDescent="0.25">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x14ac:dyDescent="0.25">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x14ac:dyDescent="0.25">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x14ac:dyDescent="0.25">
      <c r="A133" s="197" t="s">
        <v>484</v>
      </c>
      <c r="B133" s="198" t="s">
        <v>485</v>
      </c>
      <c r="C133" s="159"/>
      <c r="D133" s="159"/>
      <c r="E133" s="159"/>
      <c r="F133" s="159"/>
      <c r="G133" s="159"/>
      <c r="H133" s="160"/>
      <c r="I133" s="116">
        <f t="shared" si="1"/>
        <v>0</v>
      </c>
      <c r="J133" s="62"/>
      <c r="K133" s="56"/>
      <c r="L133" s="159"/>
      <c r="M133" s="199"/>
    </row>
    <row r="134" spans="1:13" ht="13.2" x14ac:dyDescent="0.25">
      <c r="A134" s="200"/>
      <c r="B134" s="201"/>
      <c r="C134" s="202"/>
      <c r="D134" s="202"/>
      <c r="E134" s="202"/>
      <c r="F134" s="202"/>
      <c r="G134" s="202"/>
      <c r="H134" s="203"/>
      <c r="I134" s="203">
        <f t="shared" ref="I134:I136" si="2">SUM(E134:G134)</f>
        <v>0</v>
      </c>
      <c r="J134" s="202"/>
      <c r="K134" s="202"/>
      <c r="L134" s="202"/>
      <c r="M134" s="200"/>
    </row>
    <row r="135" spans="1:13" ht="13.2" x14ac:dyDescent="0.25">
      <c r="A135" s="127"/>
      <c r="B135" s="26"/>
      <c r="C135" s="96"/>
      <c r="D135" s="482" t="s">
        <v>263</v>
      </c>
      <c r="E135" s="461"/>
      <c r="F135" s="461"/>
      <c r="G135" s="461"/>
      <c r="H135" s="160"/>
      <c r="I135" s="160">
        <f t="shared" si="2"/>
        <v>0</v>
      </c>
      <c r="J135" s="481" t="s">
        <v>264</v>
      </c>
      <c r="K135" s="461"/>
      <c r="L135" s="461"/>
      <c r="M135" s="461"/>
    </row>
    <row r="136" spans="1:13" ht="13.2" x14ac:dyDescent="0.25">
      <c r="A136" s="200"/>
      <c r="B136" s="201"/>
      <c r="C136" s="202"/>
      <c r="D136" s="202"/>
      <c r="E136" s="202"/>
      <c r="F136" s="202"/>
      <c r="G136" s="202"/>
      <c r="H136" s="203"/>
      <c r="I136" s="203">
        <f t="shared" si="2"/>
        <v>0</v>
      </c>
      <c r="J136" s="202"/>
      <c r="K136" s="202"/>
      <c r="L136" s="202"/>
      <c r="M136" s="200"/>
    </row>
    <row r="137" spans="1:13" ht="13.2" x14ac:dyDescent="0.25">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x14ac:dyDescent="0.25">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x14ac:dyDescent="0.25">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x14ac:dyDescent="0.25">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x14ac:dyDescent="0.25">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x14ac:dyDescent="0.25">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x14ac:dyDescent="0.25">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x14ac:dyDescent="0.25">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x14ac:dyDescent="0.25">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x14ac:dyDescent="0.25">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x14ac:dyDescent="0.25">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x14ac:dyDescent="0.25">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x14ac:dyDescent="0.25">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x14ac:dyDescent="0.25">
      <c r="A150" s="166"/>
      <c r="C150" s="159"/>
      <c r="D150" s="159"/>
      <c r="E150" s="159"/>
      <c r="F150" s="159"/>
      <c r="G150" s="159"/>
      <c r="H150" s="160"/>
      <c r="I150" s="57">
        <f t="shared" si="3"/>
        <v>0</v>
      </c>
      <c r="J150" s="62"/>
      <c r="K150" s="56"/>
      <c r="L150" s="159"/>
      <c r="M150" s="127"/>
    </row>
    <row r="151" spans="1:13" ht="13.2" x14ac:dyDescent="0.25">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x14ac:dyDescent="0.25">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x14ac:dyDescent="0.25">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x14ac:dyDescent="0.25">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x14ac:dyDescent="0.25">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x14ac:dyDescent="0.25">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x14ac:dyDescent="0.25">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x14ac:dyDescent="0.25">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x14ac:dyDescent="0.25">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x14ac:dyDescent="0.25">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x14ac:dyDescent="0.25">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x14ac:dyDescent="0.25">
      <c r="A162" s="86"/>
      <c r="B162" s="87"/>
      <c r="C162" s="29"/>
      <c r="D162" s="29"/>
      <c r="E162" s="29"/>
      <c r="F162" s="29"/>
      <c r="G162" s="29"/>
      <c r="H162" s="160"/>
      <c r="I162" s="57">
        <f t="shared" si="3"/>
        <v>0</v>
      </c>
      <c r="J162" s="62"/>
      <c r="K162" s="56"/>
      <c r="L162" s="29"/>
      <c r="M162" s="26"/>
    </row>
    <row r="163" spans="1:13" ht="13.2" x14ac:dyDescent="0.25">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x14ac:dyDescent="0.25">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x14ac:dyDescent="0.25">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x14ac:dyDescent="0.25">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x14ac:dyDescent="0.25">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x14ac:dyDescent="0.25">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x14ac:dyDescent="0.25">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x14ac:dyDescent="0.25">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x14ac:dyDescent="0.25">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x14ac:dyDescent="0.25">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x14ac:dyDescent="0.25">
      <c r="A173" s="63"/>
      <c r="C173" s="159"/>
      <c r="D173" s="159"/>
      <c r="E173" s="159"/>
      <c r="F173" s="159"/>
      <c r="G173" s="159"/>
      <c r="H173" s="160"/>
      <c r="I173" s="57">
        <f t="shared" si="3"/>
        <v>0</v>
      </c>
      <c r="J173" s="62"/>
      <c r="K173" s="56"/>
      <c r="L173" s="159"/>
      <c r="M173" s="127"/>
    </row>
    <row r="174" spans="1:13" ht="13.2" x14ac:dyDescent="0.25">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x14ac:dyDescent="0.25">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x14ac:dyDescent="0.25">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x14ac:dyDescent="0.25">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x14ac:dyDescent="0.25">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x14ac:dyDescent="0.25">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x14ac:dyDescent="0.25">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x14ac:dyDescent="0.25">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x14ac:dyDescent="0.25">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x14ac:dyDescent="0.25">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x14ac:dyDescent="0.25">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x14ac:dyDescent="0.25">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x14ac:dyDescent="0.25">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x14ac:dyDescent="0.25">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x14ac:dyDescent="0.25">
      <c r="A188" s="63"/>
      <c r="C188" s="159"/>
      <c r="D188" s="159"/>
      <c r="E188" s="159"/>
      <c r="F188" s="159"/>
      <c r="G188" s="159"/>
      <c r="H188" s="160"/>
      <c r="I188" s="57">
        <f t="shared" si="3"/>
        <v>0</v>
      </c>
      <c r="J188" s="62"/>
      <c r="K188" s="56"/>
      <c r="L188" s="159"/>
      <c r="M188" s="127"/>
    </row>
    <row r="189" spans="1:13" ht="13.2" x14ac:dyDescent="0.25">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x14ac:dyDescent="0.25">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x14ac:dyDescent="0.25">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x14ac:dyDescent="0.25">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x14ac:dyDescent="0.25">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x14ac:dyDescent="0.25">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x14ac:dyDescent="0.25">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x14ac:dyDescent="0.25">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x14ac:dyDescent="0.25">
      <c r="A197" s="63"/>
      <c r="C197" s="159"/>
      <c r="D197" s="159"/>
      <c r="E197" s="159"/>
      <c r="F197" s="159"/>
      <c r="G197" s="159"/>
      <c r="H197" s="160"/>
      <c r="I197" s="57">
        <f t="shared" si="3"/>
        <v>0</v>
      </c>
      <c r="J197" s="62"/>
      <c r="K197" s="56"/>
      <c r="L197" s="159"/>
      <c r="M197" s="127"/>
    </row>
    <row r="198" spans="1:13" ht="13.2" x14ac:dyDescent="0.25">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x14ac:dyDescent="0.25">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x14ac:dyDescent="0.25">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x14ac:dyDescent="0.25">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x14ac:dyDescent="0.25">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x14ac:dyDescent="0.25">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x14ac:dyDescent="0.25">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x14ac:dyDescent="0.25">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x14ac:dyDescent="0.25">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x14ac:dyDescent="0.25">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x14ac:dyDescent="0.25">
      <c r="A208" s="63"/>
      <c r="C208" s="159"/>
      <c r="D208" s="159"/>
      <c r="E208" s="159"/>
      <c r="F208" s="159"/>
      <c r="G208" s="159"/>
      <c r="H208" s="160"/>
      <c r="I208" s="57">
        <f t="shared" si="3"/>
        <v>0</v>
      </c>
      <c r="J208" s="62"/>
      <c r="K208" s="56"/>
      <c r="L208" s="159"/>
      <c r="M208" s="127"/>
    </row>
    <row r="209" spans="1:13" ht="13.2" x14ac:dyDescent="0.25">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x14ac:dyDescent="0.25">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x14ac:dyDescent="0.25">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x14ac:dyDescent="0.25">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x14ac:dyDescent="0.25">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x14ac:dyDescent="0.25">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x14ac:dyDescent="0.25">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x14ac:dyDescent="0.25">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x14ac:dyDescent="0.25">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x14ac:dyDescent="0.25">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x14ac:dyDescent="0.25"/>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x14ac:dyDescent="0.25">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x14ac:dyDescent="0.25">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x14ac:dyDescent="0.25">
      <c r="A3" s="166"/>
      <c r="B3" s="207"/>
      <c r="C3" s="159"/>
      <c r="D3" s="159"/>
      <c r="E3" s="159"/>
      <c r="F3" s="159"/>
      <c r="G3" s="159"/>
      <c r="H3" s="160"/>
      <c r="I3" s="57"/>
      <c r="J3" s="62"/>
      <c r="K3" s="56"/>
      <c r="L3" s="159"/>
      <c r="M3" s="117" t="s">
        <v>560</v>
      </c>
    </row>
    <row r="4" spans="1:13" ht="15.75" customHeight="1" x14ac:dyDescent="0.25">
      <c r="A4" s="166"/>
      <c r="B4" s="207"/>
      <c r="C4" s="159"/>
      <c r="D4" s="159"/>
      <c r="E4" s="159"/>
      <c r="F4" s="159"/>
      <c r="G4" s="159"/>
      <c r="H4" s="160"/>
      <c r="I4" s="57"/>
      <c r="J4" s="62"/>
      <c r="K4" s="56"/>
      <c r="L4" s="159"/>
      <c r="M4" s="208" t="s">
        <v>561</v>
      </c>
    </row>
    <row r="5" spans="1:13" ht="15.75" customHeight="1" x14ac:dyDescent="0.25">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x14ac:dyDescent="0.25">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x14ac:dyDescent="0.25">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x14ac:dyDescent="0.25">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x14ac:dyDescent="0.25">
      <c r="A9" s="86"/>
      <c r="B9" s="128"/>
      <c r="C9" s="159"/>
      <c r="D9" s="159"/>
      <c r="E9" s="159"/>
      <c r="F9" s="159"/>
      <c r="G9" s="159"/>
      <c r="H9" s="160"/>
      <c r="I9" s="57">
        <f t="shared" si="0"/>
        <v>0</v>
      </c>
      <c r="J9" s="62"/>
      <c r="K9" s="56"/>
      <c r="L9" s="29"/>
      <c r="M9" s="104"/>
    </row>
    <row r="10" spans="1:13" ht="15.75" customHeight="1" x14ac:dyDescent="0.25">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x14ac:dyDescent="0.25">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x14ac:dyDescent="0.25">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x14ac:dyDescent="0.25">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x14ac:dyDescent="0.25">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x14ac:dyDescent="0.25">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x14ac:dyDescent="0.25">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x14ac:dyDescent="0.25">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x14ac:dyDescent="0.25">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x14ac:dyDescent="0.25">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x14ac:dyDescent="0.25">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x14ac:dyDescent="0.25">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x14ac:dyDescent="0.25">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x14ac:dyDescent="0.25">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x14ac:dyDescent="0.25">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x14ac:dyDescent="0.25">
      <c r="A25" s="63"/>
      <c r="B25" s="63"/>
      <c r="C25" s="159"/>
      <c r="D25" s="159"/>
      <c r="E25" s="159"/>
      <c r="F25" s="159"/>
      <c r="G25" s="159"/>
      <c r="H25" s="160"/>
      <c r="I25" s="57">
        <f t="shared" si="0"/>
        <v>0</v>
      </c>
      <c r="J25" s="62"/>
      <c r="K25" s="56"/>
      <c r="L25" s="159"/>
      <c r="M25" s="127"/>
    </row>
    <row r="26" spans="1:13" ht="13.2" x14ac:dyDescent="0.25">
      <c r="A26" s="86" t="s">
        <v>577</v>
      </c>
      <c r="B26" s="128" t="str">
        <f>HYPERLINK("http://codeforces.com/contest/296/problem/C","CF296-D2-C")</f>
        <v>CF296-D2-C</v>
      </c>
      <c r="C26" s="29"/>
      <c r="D26" s="29"/>
      <c r="E26" s="29"/>
      <c r="F26" s="29"/>
      <c r="G26" s="29"/>
      <c r="H26" s="29"/>
      <c r="I26" s="103">
        <f t="shared" si="0"/>
        <v>0</v>
      </c>
      <c r="J26" s="93"/>
      <c r="K26" s="92"/>
      <c r="L26" s="29"/>
      <c r="M26" s="26"/>
    </row>
    <row r="27" spans="1:13" ht="13.2" x14ac:dyDescent="0.25">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x14ac:dyDescent="0.25">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x14ac:dyDescent="0.25">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x14ac:dyDescent="0.25">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x14ac:dyDescent="0.25">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x14ac:dyDescent="0.25">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x14ac:dyDescent="0.25">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x14ac:dyDescent="0.25">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x14ac:dyDescent="0.25">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x14ac:dyDescent="0.25">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x14ac:dyDescent="0.25">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x14ac:dyDescent="0.25">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x14ac:dyDescent="0.25">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x14ac:dyDescent="0.25">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x14ac:dyDescent="0.25">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x14ac:dyDescent="0.25">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x14ac:dyDescent="0.25">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x14ac:dyDescent="0.25">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x14ac:dyDescent="0.25">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x14ac:dyDescent="0.25">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x14ac:dyDescent="0.25">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x14ac:dyDescent="0.25">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x14ac:dyDescent="0.25">
      <c r="A49" s="86" t="s">
        <v>593</v>
      </c>
      <c r="B49" s="128" t="str">
        <f>HYPERLINK("http://codeforces.com/contest/357/problem/C","CF357-D2-C")</f>
        <v>CF357-D2-C</v>
      </c>
      <c r="C49" s="29"/>
      <c r="D49" s="29"/>
      <c r="E49" s="29"/>
      <c r="F49" s="29"/>
      <c r="G49" s="29"/>
      <c r="H49" s="29"/>
      <c r="I49" s="103">
        <f t="shared" si="0"/>
        <v>0</v>
      </c>
      <c r="J49" s="93"/>
      <c r="K49" s="92"/>
      <c r="L49" s="29"/>
      <c r="M49" s="29"/>
    </row>
    <row r="50" spans="1:13" ht="13.2" x14ac:dyDescent="0.25">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x14ac:dyDescent="0.25">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x14ac:dyDescent="0.25">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x14ac:dyDescent="0.25">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x14ac:dyDescent="0.25">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x14ac:dyDescent="0.25">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x14ac:dyDescent="0.25">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x14ac:dyDescent="0.25">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x14ac:dyDescent="0.25">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x14ac:dyDescent="0.25">
      <c r="A59" s="63"/>
      <c r="B59" s="63"/>
      <c r="C59" s="159"/>
      <c r="D59" s="159"/>
      <c r="E59" s="159"/>
      <c r="F59" s="159"/>
      <c r="G59" s="159"/>
      <c r="H59" s="160"/>
      <c r="I59" s="57">
        <f t="shared" si="0"/>
        <v>0</v>
      </c>
      <c r="J59" s="62"/>
      <c r="K59" s="56"/>
      <c r="L59" s="159"/>
      <c r="M59" s="63"/>
    </row>
    <row r="60" spans="1:13" ht="13.2" x14ac:dyDescent="0.25">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x14ac:dyDescent="0.25">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x14ac:dyDescent="0.25">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x14ac:dyDescent="0.25">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x14ac:dyDescent="0.25">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x14ac:dyDescent="0.25">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x14ac:dyDescent="0.25">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x14ac:dyDescent="0.25">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x14ac:dyDescent="0.25">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x14ac:dyDescent="0.25">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x14ac:dyDescent="0.25">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x14ac:dyDescent="0.25">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x14ac:dyDescent="0.25">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x14ac:dyDescent="0.25">
      <c r="A73" s="122"/>
      <c r="B73" s="122" t="s">
        <v>611</v>
      </c>
      <c r="C73" s="159"/>
      <c r="D73" s="159"/>
      <c r="E73" s="159"/>
      <c r="F73" s="159"/>
      <c r="G73" s="159"/>
      <c r="H73" s="160"/>
      <c r="I73" s="57">
        <f t="shared" si="0"/>
        <v>0</v>
      </c>
      <c r="J73" s="62"/>
      <c r="K73" s="56"/>
      <c r="L73" s="159"/>
      <c r="M73" s="161"/>
    </row>
    <row r="74" spans="1:13" ht="13.2" x14ac:dyDescent="0.25">
      <c r="A74" s="122"/>
      <c r="B74" s="122" t="s">
        <v>612</v>
      </c>
      <c r="C74" s="159"/>
      <c r="D74" s="159"/>
      <c r="E74" s="159"/>
      <c r="F74" s="159"/>
      <c r="G74" s="159"/>
      <c r="H74" s="160"/>
      <c r="I74" s="57">
        <f t="shared" si="0"/>
        <v>0</v>
      </c>
      <c r="J74" s="62"/>
      <c r="K74" s="56"/>
      <c r="L74" s="159"/>
      <c r="M74" s="161"/>
    </row>
    <row r="75" spans="1:13" ht="13.2" x14ac:dyDescent="0.25">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x14ac:dyDescent="0.25">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x14ac:dyDescent="0.25">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x14ac:dyDescent="0.25">
      <c r="A78" s="63"/>
      <c r="B78" s="63"/>
      <c r="C78" s="159"/>
      <c r="D78" s="159"/>
      <c r="E78" s="159"/>
      <c r="F78" s="159"/>
      <c r="G78" s="159"/>
      <c r="H78" s="160"/>
      <c r="I78" s="57">
        <f t="shared" si="0"/>
        <v>0</v>
      </c>
      <c r="J78" s="62"/>
      <c r="K78" s="56"/>
      <c r="L78" s="159"/>
      <c r="M78" s="63"/>
    </row>
    <row r="79" spans="1:13" ht="13.2" x14ac:dyDescent="0.25">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x14ac:dyDescent="0.25">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x14ac:dyDescent="0.25">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x14ac:dyDescent="0.25">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x14ac:dyDescent="0.25">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x14ac:dyDescent="0.25">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x14ac:dyDescent="0.25">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x14ac:dyDescent="0.25">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x14ac:dyDescent="0.25">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x14ac:dyDescent="0.25">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x14ac:dyDescent="0.25">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x14ac:dyDescent="0.25">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x14ac:dyDescent="0.25">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x14ac:dyDescent="0.25">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x14ac:dyDescent="0.25">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x14ac:dyDescent="0.25">
      <c r="A94" s="170"/>
      <c r="B94" s="213" t="s">
        <v>630</v>
      </c>
      <c r="C94" s="159"/>
      <c r="D94" s="159"/>
      <c r="E94" s="159"/>
      <c r="F94" s="159"/>
      <c r="G94" s="159"/>
      <c r="H94" s="160"/>
      <c r="I94" s="57">
        <f t="shared" si="0"/>
        <v>0</v>
      </c>
      <c r="J94" s="62"/>
      <c r="K94" s="56"/>
      <c r="L94" s="159"/>
      <c r="M94" s="169" t="s">
        <v>614</v>
      </c>
    </row>
    <row r="95" spans="1:13" ht="13.2" x14ac:dyDescent="0.25">
      <c r="A95" s="63"/>
      <c r="B95" s="63"/>
      <c r="C95" s="159"/>
      <c r="D95" s="159"/>
      <c r="E95" s="159"/>
      <c r="F95" s="159"/>
      <c r="G95" s="159"/>
      <c r="H95" s="160"/>
      <c r="I95" s="57">
        <f t="shared" si="0"/>
        <v>0</v>
      </c>
      <c r="J95" s="62"/>
      <c r="K95" s="56"/>
      <c r="L95" s="159"/>
      <c r="M95" s="221"/>
    </row>
    <row r="96" spans="1:13" ht="13.2" x14ac:dyDescent="0.25">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x14ac:dyDescent="0.25">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x14ac:dyDescent="0.25">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x14ac:dyDescent="0.25">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x14ac:dyDescent="0.25">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x14ac:dyDescent="0.25">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x14ac:dyDescent="0.25">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x14ac:dyDescent="0.25">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x14ac:dyDescent="0.25">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x14ac:dyDescent="0.25">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x14ac:dyDescent="0.25">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x14ac:dyDescent="0.25">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x14ac:dyDescent="0.25">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x14ac:dyDescent="0.25">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x14ac:dyDescent="0.25">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x14ac:dyDescent="0.25">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x14ac:dyDescent="0.25">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x14ac:dyDescent="0.25">
      <c r="A113" s="170"/>
      <c r="B113" s="170" t="s">
        <v>645</v>
      </c>
      <c r="C113" s="159"/>
      <c r="D113" s="159"/>
      <c r="E113" s="159"/>
      <c r="F113" s="159"/>
      <c r="G113" s="159"/>
      <c r="H113" s="160"/>
      <c r="I113" s="57">
        <f t="shared" si="0"/>
        <v>0</v>
      </c>
      <c r="J113" s="62"/>
      <c r="K113" s="56"/>
      <c r="L113" s="159"/>
      <c r="M113" s="228" t="s">
        <v>614</v>
      </c>
    </row>
    <row r="114" spans="1:13" ht="13.2" x14ac:dyDescent="0.25">
      <c r="A114" s="170"/>
      <c r="B114" s="170" t="s">
        <v>646</v>
      </c>
      <c r="C114" s="159"/>
      <c r="D114" s="159"/>
      <c r="E114" s="159"/>
      <c r="F114" s="159"/>
      <c r="G114" s="159"/>
      <c r="H114" s="160"/>
      <c r="I114" s="57">
        <f t="shared" si="0"/>
        <v>0</v>
      </c>
      <c r="J114" s="62"/>
      <c r="K114" s="56"/>
      <c r="L114" s="159"/>
      <c r="M114" s="229"/>
    </row>
    <row r="115" spans="1:13" ht="13.2" x14ac:dyDescent="0.25">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x14ac:dyDescent="0.25">
      <c r="A116" s="63"/>
      <c r="B116" s="63"/>
      <c r="C116" s="159"/>
      <c r="D116" s="159"/>
      <c r="E116" s="159"/>
      <c r="F116" s="159"/>
      <c r="G116" s="159"/>
      <c r="H116" s="160"/>
      <c r="I116" s="57">
        <f t="shared" si="0"/>
        <v>0</v>
      </c>
      <c r="J116" s="62"/>
      <c r="K116" s="56"/>
      <c r="L116" s="159"/>
      <c r="M116" s="229"/>
    </row>
    <row r="117" spans="1:13" ht="13.2" x14ac:dyDescent="0.25">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x14ac:dyDescent="0.25">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x14ac:dyDescent="0.25">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x14ac:dyDescent="0.25">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x14ac:dyDescent="0.25">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x14ac:dyDescent="0.25">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x14ac:dyDescent="0.25">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x14ac:dyDescent="0.25">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x14ac:dyDescent="0.25">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x14ac:dyDescent="0.25">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x14ac:dyDescent="0.25">
      <c r="A127" s="166"/>
      <c r="B127" s="63"/>
      <c r="C127" s="159"/>
      <c r="D127" s="159"/>
      <c r="E127" s="159"/>
      <c r="F127" s="159"/>
      <c r="G127" s="159"/>
      <c r="H127" s="160"/>
      <c r="I127" s="57">
        <f t="shared" si="0"/>
        <v>0</v>
      </c>
      <c r="J127" s="62"/>
      <c r="K127" s="56"/>
      <c r="L127" s="159"/>
      <c r="M127" s="63"/>
    </row>
    <row r="128" spans="1:13" ht="13.2" x14ac:dyDescent="0.25">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x14ac:dyDescent="0.25">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x14ac:dyDescent="0.25">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x14ac:dyDescent="0.25">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x14ac:dyDescent="0.25">
      <c r="A132" s="63"/>
      <c r="B132" s="63"/>
      <c r="C132" s="159"/>
      <c r="D132" s="159"/>
      <c r="E132" s="159"/>
      <c r="F132" s="159"/>
      <c r="G132" s="159"/>
      <c r="H132" s="160"/>
      <c r="I132" s="57">
        <f t="shared" si="0"/>
        <v>0</v>
      </c>
      <c r="J132" s="62"/>
      <c r="K132" s="56"/>
      <c r="L132" s="159"/>
      <c r="M132" s="63"/>
    </row>
    <row r="133" spans="1:13" ht="13.2" x14ac:dyDescent="0.25">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x14ac:dyDescent="0.25">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x14ac:dyDescent="0.25">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x14ac:dyDescent="0.25">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x14ac:dyDescent="0.25">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x14ac:dyDescent="0.25">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x14ac:dyDescent="0.25">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x14ac:dyDescent="0.25">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x14ac:dyDescent="0.25">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x14ac:dyDescent="0.25">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x14ac:dyDescent="0.25">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x14ac:dyDescent="0.25">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x14ac:dyDescent="0.25">
      <c r="C145" s="159"/>
      <c r="D145" s="159"/>
      <c r="E145" s="159"/>
      <c r="F145" s="159"/>
      <c r="G145" s="159"/>
      <c r="H145" s="160"/>
      <c r="I145" s="57">
        <f t="shared" si="0"/>
        <v>0</v>
      </c>
      <c r="J145" s="62"/>
      <c r="K145" s="56"/>
      <c r="L145" s="159"/>
      <c r="M145" s="238"/>
    </row>
    <row r="146" spans="1:13" ht="13.2" x14ac:dyDescent="0.25">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x14ac:dyDescent="0.25">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x14ac:dyDescent="0.25">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x14ac:dyDescent="0.25">
      <c r="A149" s="200"/>
      <c r="B149" s="200"/>
      <c r="C149" s="202"/>
      <c r="D149" s="202"/>
      <c r="E149" s="202"/>
      <c r="F149" s="202"/>
      <c r="G149" s="202"/>
      <c r="H149" s="203"/>
      <c r="I149" s="203">
        <f t="shared" ref="I149:I151" si="1">SUM(E149:G149)</f>
        <v>0</v>
      </c>
      <c r="J149" s="202"/>
      <c r="K149" s="202"/>
      <c r="L149" s="202"/>
      <c r="M149" s="200"/>
    </row>
    <row r="150" spans="1:13" ht="13.2" x14ac:dyDescent="0.25">
      <c r="A150" s="127"/>
      <c r="B150" s="127"/>
      <c r="C150" s="96"/>
      <c r="D150" s="482" t="s">
        <v>263</v>
      </c>
      <c r="E150" s="461"/>
      <c r="F150" s="461"/>
      <c r="G150" s="461"/>
      <c r="H150" s="160"/>
      <c r="I150" s="160">
        <f t="shared" si="1"/>
        <v>0</v>
      </c>
      <c r="J150" s="481" t="s">
        <v>264</v>
      </c>
      <c r="K150" s="461"/>
      <c r="L150" s="461"/>
      <c r="M150" s="461"/>
    </row>
    <row r="151" spans="1:13" ht="13.2" x14ac:dyDescent="0.25">
      <c r="A151" s="200"/>
      <c r="B151" s="200"/>
      <c r="C151" s="202"/>
      <c r="D151" s="202"/>
      <c r="E151" s="202"/>
      <c r="F151" s="202"/>
      <c r="G151" s="202"/>
      <c r="H151" s="203"/>
      <c r="I151" s="203">
        <f t="shared" si="1"/>
        <v>0</v>
      </c>
      <c r="J151" s="202"/>
      <c r="K151" s="202"/>
      <c r="L151" s="202"/>
      <c r="M151" s="200"/>
    </row>
    <row r="152" spans="1:13" ht="13.2" x14ac:dyDescent="0.25">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x14ac:dyDescent="0.25">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x14ac:dyDescent="0.25">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x14ac:dyDescent="0.25">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x14ac:dyDescent="0.25">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x14ac:dyDescent="0.25">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x14ac:dyDescent="0.25">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x14ac:dyDescent="0.25">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x14ac:dyDescent="0.25">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x14ac:dyDescent="0.25">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x14ac:dyDescent="0.25">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x14ac:dyDescent="0.25">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x14ac:dyDescent="0.25">
      <c r="A164" s="166"/>
      <c r="B164" s="63"/>
      <c r="C164" s="159"/>
      <c r="D164" s="159"/>
      <c r="E164" s="159"/>
      <c r="F164" s="159"/>
      <c r="G164" s="159"/>
      <c r="H164" s="160"/>
      <c r="I164" s="57">
        <f t="shared" si="2"/>
        <v>0</v>
      </c>
      <c r="J164" s="62"/>
      <c r="K164" s="56"/>
      <c r="L164" s="159"/>
      <c r="M164" s="127"/>
    </row>
    <row r="165" spans="1:13" ht="13.2" x14ac:dyDescent="0.25">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x14ac:dyDescent="0.25">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x14ac:dyDescent="0.25">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x14ac:dyDescent="0.25">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x14ac:dyDescent="0.25">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x14ac:dyDescent="0.25">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x14ac:dyDescent="0.25">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x14ac:dyDescent="0.25">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x14ac:dyDescent="0.25">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x14ac:dyDescent="0.25">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x14ac:dyDescent="0.25">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x14ac:dyDescent="0.25">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x14ac:dyDescent="0.25">
      <c r="A177" s="166"/>
      <c r="B177" s="63"/>
      <c r="C177" s="159"/>
      <c r="D177" s="159"/>
      <c r="E177" s="159"/>
      <c r="F177" s="159"/>
      <c r="G177" s="159"/>
      <c r="H177" s="160"/>
      <c r="I177" s="57">
        <f t="shared" si="2"/>
        <v>0</v>
      </c>
      <c r="J177" s="62"/>
      <c r="K177" s="56"/>
      <c r="L177" s="159"/>
      <c r="M177" s="127"/>
    </row>
    <row r="178" spans="1:13" ht="13.2" x14ac:dyDescent="0.25">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x14ac:dyDescent="0.25">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x14ac:dyDescent="0.25">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x14ac:dyDescent="0.25">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x14ac:dyDescent="0.25">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x14ac:dyDescent="0.25">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x14ac:dyDescent="0.25">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x14ac:dyDescent="0.25">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x14ac:dyDescent="0.25">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x14ac:dyDescent="0.25">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x14ac:dyDescent="0.25">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x14ac:dyDescent="0.25">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x14ac:dyDescent="0.25">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x14ac:dyDescent="0.25">
      <c r="A191" s="166"/>
      <c r="B191" s="63"/>
      <c r="C191" s="159"/>
      <c r="D191" s="159"/>
      <c r="E191" s="159"/>
      <c r="F191" s="159"/>
      <c r="G191" s="159"/>
      <c r="H191" s="160"/>
      <c r="I191" s="57">
        <f t="shared" si="2"/>
        <v>0</v>
      </c>
      <c r="J191" s="62"/>
      <c r="K191" s="56"/>
      <c r="L191" s="159"/>
      <c r="M191" s="127"/>
    </row>
    <row r="192" spans="1:13" ht="13.2" x14ac:dyDescent="0.25">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x14ac:dyDescent="0.25">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x14ac:dyDescent="0.25">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x14ac:dyDescent="0.25">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x14ac:dyDescent="0.25">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x14ac:dyDescent="0.25">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x14ac:dyDescent="0.25">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x14ac:dyDescent="0.25">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x14ac:dyDescent="0.25">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x14ac:dyDescent="0.25"/>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x14ac:dyDescent="0.25">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x14ac:dyDescent="0.25">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x14ac:dyDescent="0.25">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x14ac:dyDescent="0.25">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x14ac:dyDescent="0.25">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x14ac:dyDescent="0.25">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x14ac:dyDescent="0.25">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x14ac:dyDescent="0.25">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x14ac:dyDescent="0.25">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x14ac:dyDescent="0.25">
      <c r="A10" s="170"/>
      <c r="B10" s="170" t="s">
        <v>723</v>
      </c>
      <c r="C10" s="159"/>
      <c r="D10" s="159"/>
      <c r="E10" s="159"/>
      <c r="F10" s="159"/>
      <c r="G10" s="159"/>
      <c r="H10" s="160"/>
      <c r="I10" s="57">
        <f t="shared" si="0"/>
        <v>0</v>
      </c>
      <c r="J10" s="62"/>
      <c r="K10" s="56"/>
      <c r="L10" s="159"/>
      <c r="M10" s="241"/>
    </row>
    <row r="11" spans="1:13" ht="15.75" customHeight="1" x14ac:dyDescent="0.25">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x14ac:dyDescent="0.25">
      <c r="A12" s="211"/>
      <c r="B12" s="170" t="s">
        <v>725</v>
      </c>
      <c r="C12" s="159"/>
      <c r="D12" s="159"/>
      <c r="E12" s="159"/>
      <c r="F12" s="159"/>
      <c r="G12" s="159"/>
      <c r="H12" s="160"/>
      <c r="I12" s="57">
        <f t="shared" si="0"/>
        <v>0</v>
      </c>
      <c r="J12" s="26"/>
      <c r="K12" s="29"/>
      <c r="L12" s="29"/>
      <c r="M12" s="29"/>
    </row>
    <row r="13" spans="1:13" ht="15.75" customHeight="1" x14ac:dyDescent="0.25">
      <c r="A13" s="127"/>
      <c r="B13" s="127"/>
      <c r="C13" s="159"/>
      <c r="D13" s="159"/>
      <c r="E13" s="159"/>
      <c r="F13" s="159"/>
      <c r="G13" s="159"/>
      <c r="H13" s="160"/>
      <c r="I13" s="57">
        <f t="shared" si="0"/>
        <v>0</v>
      </c>
      <c r="J13" s="62"/>
      <c r="K13" s="56"/>
      <c r="L13" s="159"/>
      <c r="M13" s="242"/>
    </row>
    <row r="14" spans="1:13" ht="15.75" customHeight="1" x14ac:dyDescent="0.25">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x14ac:dyDescent="0.25">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x14ac:dyDescent="0.25">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x14ac:dyDescent="0.25">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x14ac:dyDescent="0.25">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x14ac:dyDescent="0.25">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x14ac:dyDescent="0.25">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x14ac:dyDescent="0.25">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x14ac:dyDescent="0.25">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x14ac:dyDescent="0.25">
      <c r="A23" s="166"/>
      <c r="B23" s="143" t="str">
        <f>HYPERLINK("https://codeforces.com/contest/1220/problem/C","CF1220-D12-C")</f>
        <v>CF1220-D12-C</v>
      </c>
      <c r="C23" s="159"/>
      <c r="D23" s="159"/>
      <c r="E23" s="159"/>
      <c r="F23" s="159"/>
      <c r="G23" s="159"/>
      <c r="H23" s="160"/>
      <c r="I23" s="57">
        <f t="shared" si="0"/>
        <v>0</v>
      </c>
      <c r="J23" s="62"/>
      <c r="K23" s="56"/>
      <c r="L23" s="29"/>
      <c r="M23" s="199"/>
    </row>
    <row r="24" spans="1:13" ht="13.2" x14ac:dyDescent="0.25">
      <c r="A24" s="166"/>
      <c r="B24" s="71" t="str">
        <f>HYPERLINK("http://codeforces.com/contest/1065/problem/C","CF1065-D2-C")</f>
        <v>CF1065-D2-C</v>
      </c>
      <c r="C24" s="159"/>
      <c r="D24" s="159"/>
      <c r="E24" s="159"/>
      <c r="F24" s="159"/>
      <c r="G24" s="159"/>
      <c r="H24" s="160"/>
      <c r="I24" s="57">
        <f t="shared" si="0"/>
        <v>0</v>
      </c>
      <c r="J24" s="62"/>
      <c r="K24" s="56"/>
      <c r="L24" s="29"/>
      <c r="M24" s="199"/>
    </row>
    <row r="25" spans="1:13" ht="13.2" x14ac:dyDescent="0.25">
      <c r="A25" s="166"/>
      <c r="B25" s="71" t="str">
        <f>HYPERLINK("http://codeforces.com/contest/1036/problem/C","CF1036-D2-C")</f>
        <v>CF1036-D2-C</v>
      </c>
      <c r="C25" s="159"/>
      <c r="D25" s="159"/>
      <c r="E25" s="159"/>
      <c r="F25" s="159"/>
      <c r="G25" s="159"/>
      <c r="H25" s="160"/>
      <c r="I25" s="57">
        <f t="shared" si="0"/>
        <v>0</v>
      </c>
      <c r="J25" s="62"/>
      <c r="K25" s="56"/>
      <c r="L25" s="29"/>
      <c r="M25" s="199"/>
    </row>
    <row r="26" spans="1:13" ht="13.2" x14ac:dyDescent="0.25">
      <c r="A26" s="166"/>
      <c r="B26" s="71" t="str">
        <f>HYPERLINK("https://codeforces.com/contest/1068/problem/C","CF1068-D2-C")</f>
        <v>CF1068-D2-C</v>
      </c>
      <c r="C26" s="159"/>
      <c r="D26" s="159"/>
      <c r="E26" s="159"/>
      <c r="F26" s="159"/>
      <c r="G26" s="159"/>
      <c r="H26" s="160"/>
      <c r="I26" s="57">
        <f t="shared" si="0"/>
        <v>0</v>
      </c>
      <c r="J26" s="62"/>
      <c r="K26" s="56"/>
      <c r="L26" s="29"/>
      <c r="M26" s="199"/>
    </row>
    <row r="27" spans="1:13" ht="13.2" x14ac:dyDescent="0.25">
      <c r="A27" s="166"/>
      <c r="B27" s="128" t="str">
        <f>HYPERLINK("http://codeforces.com/contest/313/problem/C","CF313-D2-C")</f>
        <v>CF313-D2-C</v>
      </c>
      <c r="C27" s="159"/>
      <c r="D27" s="159"/>
      <c r="E27" s="159"/>
      <c r="F27" s="159"/>
      <c r="G27" s="159"/>
      <c r="H27" s="160"/>
      <c r="I27" s="57">
        <f t="shared" si="0"/>
        <v>0</v>
      </c>
      <c r="J27" s="62"/>
      <c r="K27" s="56"/>
      <c r="L27" s="29"/>
      <c r="M27" s="199"/>
    </row>
    <row r="28" spans="1:13" ht="13.2" x14ac:dyDescent="0.25">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x14ac:dyDescent="0.25">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x14ac:dyDescent="0.25">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x14ac:dyDescent="0.25">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x14ac:dyDescent="0.25">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x14ac:dyDescent="0.25">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x14ac:dyDescent="0.25">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x14ac:dyDescent="0.25">
      <c r="A35" s="122" t="s">
        <v>739</v>
      </c>
      <c r="B35" s="223" t="str">
        <f>HYPERLINK("http://www.spoj.com/problems/SHOP/","SPOJ SHOP")</f>
        <v>SPOJ SHOP</v>
      </c>
      <c r="C35" s="159"/>
      <c r="D35" s="159"/>
      <c r="E35" s="159"/>
      <c r="F35" s="159"/>
      <c r="G35" s="159"/>
      <c r="H35" s="160"/>
      <c r="I35" s="57">
        <f t="shared" si="0"/>
        <v>0</v>
      </c>
      <c r="J35" s="62"/>
      <c r="K35" s="56"/>
      <c r="L35" s="96"/>
      <c r="M35" s="127"/>
    </row>
    <row r="36" spans="1:13" ht="13.2" x14ac:dyDescent="0.25">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x14ac:dyDescent="0.25">
      <c r="A37" s="219"/>
      <c r="B37" s="230" t="str">
        <f>HYPERLINK("https://codeforces.com/contest/1064/problem/C","CF1064-D2-C")</f>
        <v>CF1064-D2-C</v>
      </c>
      <c r="C37" s="159"/>
      <c r="D37" s="159"/>
      <c r="E37" s="159"/>
      <c r="F37" s="159"/>
      <c r="G37" s="159"/>
      <c r="H37" s="160"/>
      <c r="I37" s="57">
        <f t="shared" si="0"/>
        <v>0</v>
      </c>
      <c r="J37" s="93"/>
      <c r="K37" s="92"/>
      <c r="L37" s="26"/>
      <c r="M37" s="26"/>
    </row>
    <row r="38" spans="1:13" ht="13.2" x14ac:dyDescent="0.25">
      <c r="A38" s="219"/>
      <c r="B38" s="230" t="str">
        <f>HYPERLINK("https://codeforces.com/contest/1059/problem/C","CF1059-D2-C")</f>
        <v>CF1059-D2-C</v>
      </c>
      <c r="C38" s="159"/>
      <c r="D38" s="159"/>
      <c r="E38" s="159"/>
      <c r="F38" s="159"/>
      <c r="G38" s="159"/>
      <c r="H38" s="160"/>
      <c r="I38" s="57">
        <f t="shared" si="0"/>
        <v>0</v>
      </c>
      <c r="J38" s="93"/>
      <c r="K38" s="92"/>
      <c r="L38" s="26"/>
      <c r="M38" s="26"/>
    </row>
    <row r="39" spans="1:13" ht="13.2" x14ac:dyDescent="0.25">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x14ac:dyDescent="0.25">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x14ac:dyDescent="0.25">
      <c r="A41" s="127"/>
      <c r="B41" s="127"/>
      <c r="C41" s="159"/>
      <c r="D41" s="159"/>
      <c r="E41" s="159"/>
      <c r="F41" s="159"/>
      <c r="G41" s="159"/>
      <c r="H41" s="160"/>
      <c r="I41" s="57">
        <f t="shared" si="0"/>
        <v>0</v>
      </c>
      <c r="J41" s="62"/>
      <c r="K41" s="56"/>
      <c r="L41" s="96"/>
      <c r="M41" s="127"/>
    </row>
    <row r="42" spans="1:13" ht="13.2" x14ac:dyDescent="0.25">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x14ac:dyDescent="0.25">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x14ac:dyDescent="0.25">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x14ac:dyDescent="0.25">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x14ac:dyDescent="0.25">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x14ac:dyDescent="0.25">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x14ac:dyDescent="0.25">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x14ac:dyDescent="0.25">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x14ac:dyDescent="0.25">
      <c r="A50" s="127"/>
      <c r="B50" s="127"/>
      <c r="C50" s="159"/>
      <c r="D50" s="159"/>
      <c r="E50" s="159"/>
      <c r="F50" s="159"/>
      <c r="G50" s="159"/>
      <c r="H50" s="160"/>
      <c r="I50" s="57"/>
      <c r="J50" s="62"/>
      <c r="K50" s="56"/>
      <c r="L50" s="96"/>
      <c r="M50" s="165"/>
    </row>
    <row r="51" spans="1:13" ht="13.2" x14ac:dyDescent="0.25">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x14ac:dyDescent="0.25">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x14ac:dyDescent="0.25">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x14ac:dyDescent="0.25">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x14ac:dyDescent="0.25">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x14ac:dyDescent="0.25">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x14ac:dyDescent="0.25">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x14ac:dyDescent="0.25">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x14ac:dyDescent="0.25">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x14ac:dyDescent="0.25">
      <c r="A60" s="170"/>
      <c r="B60" s="114" t="s">
        <v>756</v>
      </c>
      <c r="C60" s="159"/>
      <c r="D60" s="159"/>
      <c r="E60" s="159"/>
      <c r="F60" s="159"/>
      <c r="G60" s="159"/>
      <c r="H60" s="160"/>
      <c r="I60" s="57">
        <f t="shared" si="1"/>
        <v>0</v>
      </c>
      <c r="J60" s="62"/>
      <c r="K60" s="56"/>
      <c r="L60" s="96"/>
      <c r="M60" s="117"/>
    </row>
    <row r="61" spans="1:13" ht="13.2" x14ac:dyDescent="0.25">
      <c r="A61" s="170"/>
      <c r="B61" s="171" t="str">
        <f>HYPERLINK("http://codeforces.com/contest/975/problem/C","CF975-D2-C")</f>
        <v>CF975-D2-C</v>
      </c>
      <c r="C61" s="159"/>
      <c r="D61" s="159"/>
      <c r="E61" s="159"/>
      <c r="F61" s="159"/>
      <c r="G61" s="159"/>
      <c r="H61" s="160"/>
      <c r="I61" s="57">
        <f t="shared" si="1"/>
        <v>0</v>
      </c>
      <c r="J61" s="62"/>
      <c r="K61" s="56"/>
      <c r="L61" s="96"/>
      <c r="M61" s="117"/>
    </row>
    <row r="62" spans="1:13" ht="13.2" x14ac:dyDescent="0.25">
      <c r="A62" s="170"/>
      <c r="B62" s="171" t="str">
        <f>HYPERLINK("http://codeforces.com/contest/1047/problem/C","CF1047-D2-C")</f>
        <v>CF1047-D2-C</v>
      </c>
      <c r="C62" s="159"/>
      <c r="D62" s="159"/>
      <c r="E62" s="159"/>
      <c r="F62" s="159"/>
      <c r="G62" s="159"/>
      <c r="H62" s="160"/>
      <c r="I62" s="57">
        <f t="shared" si="1"/>
        <v>0</v>
      </c>
      <c r="J62" s="62"/>
      <c r="K62" s="56"/>
      <c r="L62" s="96"/>
      <c r="M62" s="117"/>
    </row>
    <row r="63" spans="1:13" ht="13.2" x14ac:dyDescent="0.25">
      <c r="A63" s="170"/>
      <c r="B63" s="171" t="str">
        <f>HYPERLINK("http://codeforces.com/contest/1075/problem/C","CF1075-D2-C")</f>
        <v>CF1075-D2-C</v>
      </c>
      <c r="C63" s="159"/>
      <c r="D63" s="159"/>
      <c r="E63" s="159"/>
      <c r="F63" s="159"/>
      <c r="G63" s="159"/>
      <c r="H63" s="160"/>
      <c r="I63" s="57">
        <f t="shared" si="1"/>
        <v>0</v>
      </c>
      <c r="J63" s="62"/>
      <c r="K63" s="56"/>
      <c r="L63" s="96"/>
      <c r="M63" s="117"/>
    </row>
    <row r="64" spans="1:13" ht="13.2" x14ac:dyDescent="0.25">
      <c r="A64" s="170"/>
      <c r="B64" s="171" t="str">
        <f>HYPERLINK("http://codeforces.com/contest/758/problem/C","CF758-D2-C")</f>
        <v>CF758-D2-C</v>
      </c>
      <c r="C64" s="159"/>
      <c r="D64" s="159"/>
      <c r="E64" s="159"/>
      <c r="F64" s="159"/>
      <c r="G64" s="159"/>
      <c r="H64" s="160"/>
      <c r="I64" s="57">
        <f t="shared" si="1"/>
        <v>0</v>
      </c>
      <c r="J64" s="62"/>
      <c r="K64" s="56"/>
      <c r="L64" s="96"/>
      <c r="M64" s="117"/>
    </row>
    <row r="65" spans="1:13" ht="13.2" x14ac:dyDescent="0.25">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x14ac:dyDescent="0.25">
      <c r="A66" s="127"/>
      <c r="B66" s="127"/>
      <c r="C66" s="159"/>
      <c r="D66" s="159"/>
      <c r="E66" s="159"/>
      <c r="F66" s="159"/>
      <c r="G66" s="159"/>
      <c r="H66" s="160"/>
      <c r="I66" s="57">
        <f t="shared" si="1"/>
        <v>0</v>
      </c>
      <c r="J66" s="62"/>
      <c r="K66" s="56"/>
      <c r="L66" s="96"/>
      <c r="M66" s="127"/>
    </row>
    <row r="67" spans="1:13" ht="13.2" x14ac:dyDescent="0.25">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x14ac:dyDescent="0.25">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x14ac:dyDescent="0.25">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x14ac:dyDescent="0.25">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x14ac:dyDescent="0.25">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x14ac:dyDescent="0.25">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x14ac:dyDescent="0.25">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x14ac:dyDescent="0.25">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x14ac:dyDescent="0.25">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x14ac:dyDescent="0.25">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x14ac:dyDescent="0.25">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x14ac:dyDescent="0.25">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x14ac:dyDescent="0.25">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x14ac:dyDescent="0.25">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x14ac:dyDescent="0.25">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x14ac:dyDescent="0.25">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x14ac:dyDescent="0.25">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x14ac:dyDescent="0.25">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x14ac:dyDescent="0.25">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x14ac:dyDescent="0.25">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x14ac:dyDescent="0.25">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x14ac:dyDescent="0.25">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x14ac:dyDescent="0.25">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x14ac:dyDescent="0.25">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x14ac:dyDescent="0.25">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x14ac:dyDescent="0.25">
      <c r="A92" s="127"/>
      <c r="B92" s="127"/>
      <c r="C92" s="159"/>
      <c r="D92" s="159"/>
      <c r="E92" s="159"/>
      <c r="F92" s="159"/>
      <c r="G92" s="159"/>
      <c r="H92" s="160"/>
      <c r="I92" s="57">
        <f t="shared" si="1"/>
        <v>0</v>
      </c>
      <c r="J92" s="62"/>
      <c r="K92" s="56"/>
      <c r="L92" s="159"/>
      <c r="M92" s="249"/>
    </row>
    <row r="93" spans="1:13" ht="13.2" x14ac:dyDescent="0.25">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x14ac:dyDescent="0.25">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x14ac:dyDescent="0.25">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x14ac:dyDescent="0.25">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x14ac:dyDescent="0.25">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x14ac:dyDescent="0.25">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x14ac:dyDescent="0.25">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x14ac:dyDescent="0.25">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x14ac:dyDescent="0.25">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x14ac:dyDescent="0.25">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x14ac:dyDescent="0.25">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x14ac:dyDescent="0.25">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x14ac:dyDescent="0.25">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x14ac:dyDescent="0.25">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x14ac:dyDescent="0.25">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x14ac:dyDescent="0.25">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x14ac:dyDescent="0.25">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x14ac:dyDescent="0.25">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x14ac:dyDescent="0.25">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x14ac:dyDescent="0.25">
      <c r="A112" s="127"/>
      <c r="B112" s="127"/>
      <c r="C112" s="159"/>
      <c r="D112" s="159"/>
      <c r="E112" s="159"/>
      <c r="F112" s="159"/>
      <c r="G112" s="159"/>
      <c r="H112" s="160"/>
      <c r="I112" s="57">
        <f t="shared" si="1"/>
        <v>0</v>
      </c>
      <c r="J112" s="62"/>
      <c r="K112" s="56"/>
      <c r="L112" s="159"/>
      <c r="M112" s="127"/>
    </row>
    <row r="113" spans="1:13" ht="13.2" x14ac:dyDescent="0.25">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x14ac:dyDescent="0.25">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x14ac:dyDescent="0.25">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x14ac:dyDescent="0.25">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x14ac:dyDescent="0.25">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x14ac:dyDescent="0.25">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x14ac:dyDescent="0.25">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x14ac:dyDescent="0.25">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x14ac:dyDescent="0.25">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x14ac:dyDescent="0.25">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x14ac:dyDescent="0.25">
      <c r="A123" s="166"/>
      <c r="B123" s="63"/>
      <c r="C123" s="159"/>
      <c r="D123" s="159"/>
      <c r="E123" s="159"/>
      <c r="F123" s="159"/>
      <c r="G123" s="159"/>
      <c r="H123" s="160"/>
      <c r="I123" s="57">
        <f t="shared" si="1"/>
        <v>0</v>
      </c>
      <c r="J123" s="62"/>
      <c r="K123" s="56"/>
      <c r="L123" s="159"/>
      <c r="M123" s="127"/>
    </row>
    <row r="124" spans="1:13" ht="13.2" x14ac:dyDescent="0.25">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x14ac:dyDescent="0.25">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x14ac:dyDescent="0.25">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x14ac:dyDescent="0.25">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x14ac:dyDescent="0.25">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x14ac:dyDescent="0.25">
      <c r="A129" s="166"/>
      <c r="B129" s="63"/>
      <c r="C129" s="159"/>
      <c r="D129" s="159"/>
      <c r="E129" s="159"/>
      <c r="F129" s="159"/>
      <c r="G129" s="159"/>
      <c r="H129" s="160"/>
      <c r="I129" s="57">
        <f t="shared" si="1"/>
        <v>0</v>
      </c>
      <c r="J129" s="62"/>
      <c r="K129" s="56"/>
      <c r="L129" s="159"/>
      <c r="M129" s="127"/>
    </row>
    <row r="130" spans="1:13" ht="13.2" x14ac:dyDescent="0.25">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x14ac:dyDescent="0.25">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x14ac:dyDescent="0.25">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x14ac:dyDescent="0.25">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x14ac:dyDescent="0.25">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x14ac:dyDescent="0.25">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x14ac:dyDescent="0.25">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x14ac:dyDescent="0.25">
      <c r="A137" s="127"/>
      <c r="B137" s="127"/>
      <c r="C137" s="159"/>
      <c r="D137" s="159"/>
      <c r="E137" s="159"/>
      <c r="F137" s="159"/>
      <c r="G137" s="159"/>
      <c r="H137" s="160"/>
      <c r="I137" s="57">
        <f t="shared" si="1"/>
        <v>0</v>
      </c>
      <c r="J137" s="62"/>
      <c r="K137" s="56"/>
      <c r="L137" s="159"/>
      <c r="M137" s="127"/>
    </row>
    <row r="138" spans="1:13" ht="13.2" x14ac:dyDescent="0.25">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x14ac:dyDescent="0.25">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x14ac:dyDescent="0.25">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x14ac:dyDescent="0.25">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x14ac:dyDescent="0.25">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x14ac:dyDescent="0.25">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x14ac:dyDescent="0.25">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x14ac:dyDescent="0.25">
      <c r="A145" s="114"/>
      <c r="B145" s="114" t="s">
        <v>820</v>
      </c>
      <c r="C145" s="159"/>
      <c r="D145" s="159"/>
      <c r="E145" s="159"/>
      <c r="F145" s="159"/>
      <c r="G145" s="159"/>
      <c r="H145" s="160"/>
      <c r="I145" s="57">
        <f t="shared" si="1"/>
        <v>0</v>
      </c>
      <c r="J145" s="93"/>
      <c r="K145" s="92"/>
      <c r="L145" s="29"/>
      <c r="M145" s="166" t="s">
        <v>821</v>
      </c>
    </row>
    <row r="146" spans="1:13" ht="13.2" x14ac:dyDescent="0.25">
      <c r="A146" s="127"/>
      <c r="B146" s="127"/>
      <c r="C146" s="159"/>
      <c r="D146" s="159"/>
      <c r="E146" s="159"/>
      <c r="F146" s="159"/>
      <c r="G146" s="159"/>
      <c r="H146" s="160"/>
      <c r="I146" s="57">
        <f t="shared" si="1"/>
        <v>0</v>
      </c>
      <c r="J146" s="62"/>
      <c r="K146" s="56"/>
      <c r="L146" s="159"/>
    </row>
    <row r="147" spans="1:13" ht="13.2" x14ac:dyDescent="0.25">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x14ac:dyDescent="0.25">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x14ac:dyDescent="0.25">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x14ac:dyDescent="0.25">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x14ac:dyDescent="0.25">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x14ac:dyDescent="0.25">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x14ac:dyDescent="0.25">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x14ac:dyDescent="0.25">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x14ac:dyDescent="0.25">
      <c r="A155" s="200"/>
      <c r="B155" s="200"/>
      <c r="C155" s="202"/>
      <c r="D155" s="202"/>
      <c r="E155" s="202"/>
      <c r="F155" s="202"/>
      <c r="G155" s="202"/>
      <c r="H155" s="203"/>
      <c r="I155" s="203">
        <f t="shared" ref="I155:I157" si="2">SUM(E155:G155)</f>
        <v>0</v>
      </c>
      <c r="J155" s="202"/>
      <c r="K155" s="202"/>
      <c r="L155" s="202"/>
      <c r="M155" s="200"/>
    </row>
    <row r="156" spans="1:13" ht="13.2" x14ac:dyDescent="0.25">
      <c r="A156" s="127"/>
      <c r="B156" s="127"/>
      <c r="C156" s="96"/>
      <c r="D156" s="482" t="s">
        <v>263</v>
      </c>
      <c r="E156" s="461"/>
      <c r="F156" s="461"/>
      <c r="G156" s="461"/>
      <c r="H156" s="160"/>
      <c r="I156" s="160">
        <f t="shared" si="2"/>
        <v>0</v>
      </c>
      <c r="J156" s="481" t="s">
        <v>264</v>
      </c>
      <c r="K156" s="461"/>
      <c r="L156" s="461"/>
      <c r="M156" s="461"/>
    </row>
    <row r="157" spans="1:13" ht="13.2" x14ac:dyDescent="0.25">
      <c r="A157" s="200"/>
      <c r="B157" s="200"/>
      <c r="C157" s="202"/>
      <c r="D157" s="202"/>
      <c r="E157" s="202"/>
      <c r="F157" s="202"/>
      <c r="G157" s="202"/>
      <c r="H157" s="203"/>
      <c r="I157" s="203">
        <f t="shared" si="2"/>
        <v>0</v>
      </c>
      <c r="J157" s="202"/>
      <c r="K157" s="202"/>
      <c r="L157" s="202"/>
      <c r="M157" s="200"/>
    </row>
    <row r="158" spans="1:13" ht="13.2" x14ac:dyDescent="0.25">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x14ac:dyDescent="0.25">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x14ac:dyDescent="0.25">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x14ac:dyDescent="0.25">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x14ac:dyDescent="0.25">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x14ac:dyDescent="0.25">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x14ac:dyDescent="0.25">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x14ac:dyDescent="0.25">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x14ac:dyDescent="0.25">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x14ac:dyDescent="0.25">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x14ac:dyDescent="0.25">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x14ac:dyDescent="0.25">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x14ac:dyDescent="0.25">
      <c r="A170" s="166"/>
      <c r="B170" s="63"/>
      <c r="C170" s="159"/>
      <c r="D170" s="159"/>
      <c r="E170" s="159"/>
      <c r="F170" s="159"/>
      <c r="G170" s="159"/>
      <c r="H170" s="160"/>
      <c r="I170" s="57">
        <f t="shared" si="3"/>
        <v>0</v>
      </c>
      <c r="J170" s="62"/>
      <c r="K170" s="56"/>
      <c r="L170" s="159"/>
      <c r="M170" s="127"/>
    </row>
    <row r="171" spans="1:13" ht="13.2" x14ac:dyDescent="0.25">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x14ac:dyDescent="0.25">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x14ac:dyDescent="0.25">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x14ac:dyDescent="0.25">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x14ac:dyDescent="0.25">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x14ac:dyDescent="0.25">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x14ac:dyDescent="0.25">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x14ac:dyDescent="0.25">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x14ac:dyDescent="0.25">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x14ac:dyDescent="0.25">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x14ac:dyDescent="0.25">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x14ac:dyDescent="0.25">
      <c r="A182" s="166"/>
      <c r="B182" s="63"/>
      <c r="C182" s="159"/>
      <c r="D182" s="159"/>
      <c r="E182" s="159"/>
      <c r="F182" s="159"/>
      <c r="G182" s="159"/>
      <c r="H182" s="160"/>
      <c r="I182" s="57">
        <f t="shared" si="3"/>
        <v>0</v>
      </c>
      <c r="J182" s="62"/>
      <c r="K182" s="56"/>
      <c r="L182" s="159"/>
      <c r="M182" s="127"/>
    </row>
    <row r="183" spans="1:13" ht="13.2" x14ac:dyDescent="0.25">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x14ac:dyDescent="0.25">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x14ac:dyDescent="0.25">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x14ac:dyDescent="0.25">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x14ac:dyDescent="0.25">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x14ac:dyDescent="0.25">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x14ac:dyDescent="0.25">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x14ac:dyDescent="0.25">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x14ac:dyDescent="0.25">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x14ac:dyDescent="0.25">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x14ac:dyDescent="0.25">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x14ac:dyDescent="0.25">
      <c r="A194" s="166"/>
      <c r="B194" s="63"/>
      <c r="C194" s="159"/>
      <c r="D194" s="159"/>
      <c r="E194" s="159"/>
      <c r="F194" s="159"/>
      <c r="G194" s="159"/>
      <c r="H194" s="160"/>
      <c r="I194" s="57">
        <f t="shared" si="3"/>
        <v>0</v>
      </c>
      <c r="J194" s="62"/>
      <c r="K194" s="56"/>
      <c r="L194" s="159"/>
      <c r="M194" s="127"/>
    </row>
    <row r="195" spans="1:13" ht="13.2" x14ac:dyDescent="0.25">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x14ac:dyDescent="0.25">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x14ac:dyDescent="0.25">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x14ac:dyDescent="0.25">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x14ac:dyDescent="0.25">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x14ac:dyDescent="0.25">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x14ac:dyDescent="0.25">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x14ac:dyDescent="0.25"/>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x14ac:dyDescent="0.25">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x14ac:dyDescent="0.25">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x14ac:dyDescent="0.25">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x14ac:dyDescent="0.25">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x14ac:dyDescent="0.25">
      <c r="A5" s="86" t="s">
        <v>867</v>
      </c>
      <c r="B5" s="185" t="str">
        <f>HYPERLINK("http://codeforces.com/contest/400/problem/D","CF400-D2-D")</f>
        <v>CF400-D2-D</v>
      </c>
      <c r="C5" s="29"/>
      <c r="D5" s="259"/>
      <c r="E5" s="259"/>
      <c r="F5" s="29"/>
      <c r="G5" s="29"/>
      <c r="H5" s="29"/>
      <c r="I5" s="103">
        <f t="shared" si="0"/>
        <v>0</v>
      </c>
      <c r="J5" s="93"/>
      <c r="K5" s="92"/>
      <c r="L5" s="29"/>
      <c r="M5" s="86"/>
    </row>
    <row r="6" spans="1:13" ht="13.2" x14ac:dyDescent="0.25">
      <c r="A6" s="86"/>
      <c r="B6" s="185" t="str">
        <f>HYPERLINK("http://codeforces.com/contest/1043/problem/C","CF1043-D12-C")</f>
        <v>CF1043-D12-C</v>
      </c>
      <c r="C6" s="29"/>
      <c r="D6" s="259"/>
      <c r="E6" s="259"/>
      <c r="F6" s="29"/>
      <c r="G6" s="29"/>
      <c r="H6" s="29"/>
      <c r="I6" s="103">
        <f t="shared" si="0"/>
        <v>0</v>
      </c>
      <c r="J6" s="93"/>
      <c r="K6" s="92"/>
      <c r="L6" s="29"/>
      <c r="M6" s="86"/>
    </row>
    <row r="7" spans="1:13" ht="13.2" x14ac:dyDescent="0.25">
      <c r="A7" s="86"/>
      <c r="B7" s="185" t="str">
        <f>HYPERLINK("https://codeforces.com/contest/1033/problem/C","CF1033-D12-C")</f>
        <v>CF1033-D12-C</v>
      </c>
      <c r="C7" s="29"/>
      <c r="D7" s="259"/>
      <c r="E7" s="259"/>
      <c r="F7" s="29"/>
      <c r="G7" s="29"/>
      <c r="H7" s="29"/>
      <c r="I7" s="103">
        <f t="shared" si="0"/>
        <v>0</v>
      </c>
      <c r="J7" s="93"/>
      <c r="K7" s="92"/>
      <c r="L7" s="29"/>
      <c r="M7" s="86"/>
    </row>
    <row r="8" spans="1:13" ht="13.2" x14ac:dyDescent="0.25">
      <c r="A8" s="86"/>
      <c r="B8" s="185" t="str">
        <f>HYPERLINK("https://codeforces.com/contest/1066/problem/E","CF1066-D3-E")</f>
        <v>CF1066-D3-E</v>
      </c>
      <c r="C8" s="29"/>
      <c r="D8" s="259"/>
      <c r="E8" s="259"/>
      <c r="F8" s="29"/>
      <c r="G8" s="29"/>
      <c r="H8" s="29"/>
      <c r="I8" s="103">
        <f t="shared" si="0"/>
        <v>0</v>
      </c>
      <c r="J8" s="93"/>
      <c r="K8" s="92"/>
      <c r="L8" s="29"/>
      <c r="M8" s="86"/>
    </row>
    <row r="9" spans="1:13" ht="13.2" x14ac:dyDescent="0.25">
      <c r="A9" s="86"/>
      <c r="B9" s="185" t="str">
        <f>HYPERLINK("http://codeforces.com/contest/534/problem/D","CF534-D2-D")</f>
        <v>CF534-D2-D</v>
      </c>
      <c r="C9" s="29"/>
      <c r="D9" s="259"/>
      <c r="E9" s="259"/>
      <c r="F9" s="29"/>
      <c r="G9" s="29"/>
      <c r="H9" s="29"/>
      <c r="I9" s="103">
        <f t="shared" si="0"/>
        <v>0</v>
      </c>
      <c r="J9" s="93"/>
      <c r="K9" s="92"/>
      <c r="L9" s="29"/>
      <c r="M9" s="86"/>
    </row>
    <row r="10" spans="1:13" ht="13.2" x14ac:dyDescent="0.25">
      <c r="A10" s="86"/>
      <c r="B10" s="185" t="str">
        <f>HYPERLINK("http://codeforces.com/problemset/problem/899/E","CF899-D2-E")</f>
        <v>CF899-D2-E</v>
      </c>
      <c r="C10" s="29"/>
      <c r="D10" s="259"/>
      <c r="E10" s="259"/>
      <c r="F10" s="29"/>
      <c r="G10" s="29"/>
      <c r="H10" s="29"/>
      <c r="I10" s="103">
        <f t="shared" si="0"/>
        <v>0</v>
      </c>
      <c r="J10" s="93"/>
      <c r="K10" s="92"/>
      <c r="L10" s="29"/>
      <c r="M10" s="86"/>
    </row>
    <row r="11" spans="1:13" ht="13.2" x14ac:dyDescent="0.25">
      <c r="A11" s="86"/>
      <c r="B11" s="185" t="str">
        <f>HYPERLINK("http://codeforces.com/contest/729/problem/D","CF729-D12-D")</f>
        <v>CF729-D12-D</v>
      </c>
      <c r="C11" s="29"/>
      <c r="D11" s="259"/>
      <c r="E11" s="259"/>
      <c r="F11" s="29"/>
      <c r="G11" s="29"/>
      <c r="H11" s="29"/>
      <c r="I11" s="103">
        <f t="shared" si="0"/>
        <v>0</v>
      </c>
      <c r="J11" s="93"/>
      <c r="K11" s="92"/>
      <c r="L11" s="29"/>
      <c r="M11" s="86"/>
    </row>
    <row r="12" spans="1:13" ht="13.2" x14ac:dyDescent="0.25">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x14ac:dyDescent="0.25">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x14ac:dyDescent="0.25">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x14ac:dyDescent="0.25">
      <c r="A15" s="257"/>
      <c r="B15" s="261" t="str">
        <f>HYPERLINK("http://codeforces.com/contest/309/problem/C","CF309-D1-C")</f>
        <v>CF309-D1-C</v>
      </c>
      <c r="C15" s="29"/>
      <c r="D15" s="259"/>
      <c r="E15" s="259"/>
      <c r="F15" s="29"/>
      <c r="G15" s="29"/>
      <c r="H15" s="29"/>
      <c r="I15" s="103">
        <f t="shared" si="0"/>
        <v>0</v>
      </c>
      <c r="J15" s="62"/>
      <c r="K15" s="56"/>
      <c r="L15" s="29"/>
      <c r="M15" s="262"/>
    </row>
    <row r="16" spans="1:13" ht="13.2" x14ac:dyDescent="0.25">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x14ac:dyDescent="0.25">
      <c r="A17" s="263"/>
      <c r="B17" s="263" t="s">
        <v>871</v>
      </c>
      <c r="C17" s="29"/>
      <c r="D17" s="259"/>
      <c r="E17" s="259"/>
      <c r="F17" s="29"/>
      <c r="G17" s="29"/>
      <c r="H17" s="29"/>
      <c r="I17" s="103">
        <f t="shared" si="0"/>
        <v>0</v>
      </c>
      <c r="J17" s="62"/>
      <c r="K17" s="56"/>
      <c r="L17" s="29"/>
      <c r="M17" s="63"/>
    </row>
    <row r="18" spans="1:13" ht="13.2" x14ac:dyDescent="0.25">
      <c r="A18" s="263"/>
      <c r="B18" s="264" t="str">
        <f>HYPERLINK("http://codeforces.com/problemset/problem/961/D","CF961-D12-D")</f>
        <v>CF961-D12-D</v>
      </c>
      <c r="C18" s="29"/>
      <c r="D18" s="259"/>
      <c r="E18" s="259"/>
      <c r="F18" s="29"/>
      <c r="G18" s="29"/>
      <c r="H18" s="29"/>
      <c r="I18" s="103">
        <f t="shared" si="0"/>
        <v>0</v>
      </c>
      <c r="J18" s="62"/>
      <c r="K18" s="56"/>
      <c r="L18" s="29"/>
      <c r="M18" s="63"/>
    </row>
    <row r="19" spans="1:13" ht="13.2" x14ac:dyDescent="0.25">
      <c r="A19" s="263"/>
      <c r="B19" s="264" t="str">
        <f>HYPERLINK("http://codeforces.com/problemset/problem/955/C","CF955-D2-C")</f>
        <v>CF955-D2-C</v>
      </c>
      <c r="C19" s="29"/>
      <c r="D19" s="259"/>
      <c r="E19" s="259"/>
      <c r="F19" s="29"/>
      <c r="G19" s="29"/>
      <c r="H19" s="29"/>
      <c r="I19" s="103">
        <f t="shared" si="0"/>
        <v>0</v>
      </c>
      <c r="J19" s="62"/>
      <c r="K19" s="56"/>
      <c r="L19" s="29"/>
      <c r="M19" s="63"/>
    </row>
    <row r="20" spans="1:13" ht="13.2" x14ac:dyDescent="0.25">
      <c r="A20" s="263"/>
      <c r="B20" s="263" t="s">
        <v>872</v>
      </c>
      <c r="C20" s="29"/>
      <c r="D20" s="259"/>
      <c r="E20" s="259"/>
      <c r="F20" s="29"/>
      <c r="G20" s="29"/>
      <c r="H20" s="29"/>
      <c r="I20" s="103">
        <f t="shared" si="0"/>
        <v>0</v>
      </c>
      <c r="J20" s="62"/>
      <c r="K20" s="56"/>
      <c r="L20" s="29"/>
      <c r="M20" s="210" t="str">
        <f>HYPERLINK("https://pastebin.com/WHzEMUew","Sol")</f>
        <v>Sol</v>
      </c>
    </row>
    <row r="21" spans="1:13" ht="13.2" x14ac:dyDescent="0.25">
      <c r="A21" s="263"/>
      <c r="B21" s="264" t="str">
        <f>HYPERLINK("http://codeforces.com/contest/372/problem/B","CF372-D1-B")</f>
        <v>CF372-D1-B</v>
      </c>
      <c r="C21" s="29"/>
      <c r="D21" s="259"/>
      <c r="E21" s="259"/>
      <c r="F21" s="29"/>
      <c r="G21" s="29"/>
      <c r="H21" s="29"/>
      <c r="I21" s="103">
        <f t="shared" si="0"/>
        <v>0</v>
      </c>
      <c r="J21" s="62"/>
      <c r="K21" s="56"/>
      <c r="L21" s="29"/>
      <c r="M21" s="63"/>
    </row>
    <row r="22" spans="1:13" ht="13.2" x14ac:dyDescent="0.25">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x14ac:dyDescent="0.25">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x14ac:dyDescent="0.25">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x14ac:dyDescent="0.25">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x14ac:dyDescent="0.25">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x14ac:dyDescent="0.25">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x14ac:dyDescent="0.25">
      <c r="A28" s="269" t="s">
        <v>878</v>
      </c>
      <c r="B28" s="270" t="str">
        <f>HYPERLINK("http://www.spoj.com/problems/LITE/","SPOJ LITE")</f>
        <v>SPOJ LITE</v>
      </c>
      <c r="C28" s="29"/>
      <c r="D28" s="259"/>
      <c r="E28" s="259"/>
      <c r="F28" s="29"/>
      <c r="G28" s="29"/>
      <c r="H28" s="29"/>
      <c r="I28" s="103">
        <f t="shared" si="0"/>
        <v>0</v>
      </c>
      <c r="J28" s="62"/>
      <c r="K28" s="56"/>
      <c r="L28" s="29"/>
      <c r="M28" s="86"/>
    </row>
    <row r="29" spans="1:13" ht="13.2" x14ac:dyDescent="0.25">
      <c r="A29" s="272" t="s">
        <v>879</v>
      </c>
      <c r="B29" s="273" t="str">
        <f>HYPERLINK("http://codeforces.com/contest/52/problem/C","CF52-D12-C")</f>
        <v>CF52-D12-C</v>
      </c>
      <c r="C29" s="29"/>
      <c r="D29" s="259"/>
      <c r="E29" s="259"/>
      <c r="F29" s="29"/>
      <c r="G29" s="29"/>
      <c r="H29" s="29"/>
      <c r="I29" s="103">
        <f t="shared" si="0"/>
        <v>0</v>
      </c>
      <c r="J29" s="93"/>
      <c r="K29" s="93"/>
      <c r="L29" s="26"/>
      <c r="M29" s="63"/>
    </row>
    <row r="30" spans="1:13" ht="13.2" x14ac:dyDescent="0.25">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x14ac:dyDescent="0.25">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x14ac:dyDescent="0.25">
      <c r="A32" s="274" t="s">
        <v>882</v>
      </c>
      <c r="B32" s="268" t="str">
        <f>HYPERLINK("http://codeforces.com/problemset/problem/514/D","CF514-D2-D")</f>
        <v>CF514-D2-D</v>
      </c>
      <c r="C32" s="29"/>
      <c r="D32" s="259"/>
      <c r="E32" s="259"/>
      <c r="F32" s="29"/>
      <c r="G32" s="29"/>
      <c r="H32" s="29"/>
      <c r="I32" s="103">
        <f t="shared" si="0"/>
        <v>0</v>
      </c>
      <c r="L32" s="26"/>
      <c r="M32" s="166" t="s">
        <v>883</v>
      </c>
    </row>
    <row r="33" spans="1:13" ht="13.2" x14ac:dyDescent="0.25">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x14ac:dyDescent="0.25">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x14ac:dyDescent="0.25">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x14ac:dyDescent="0.25">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x14ac:dyDescent="0.25">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x14ac:dyDescent="0.25">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x14ac:dyDescent="0.25">
      <c r="A39" s="282" t="s">
        <v>888</v>
      </c>
      <c r="B39" s="283" t="str">
        <f>HYPERLINK("http://www.spoj.com/problems/KGSS/","SPOJ KGSS")</f>
        <v>SPOJ KGSS</v>
      </c>
      <c r="C39" s="29"/>
      <c r="D39" s="259"/>
      <c r="E39" s="259"/>
      <c r="F39" s="29"/>
      <c r="G39" s="29"/>
      <c r="H39" s="29"/>
      <c r="I39" s="103">
        <f t="shared" si="0"/>
        <v>0</v>
      </c>
      <c r="J39" s="62"/>
      <c r="K39" s="56"/>
      <c r="L39" s="29"/>
      <c r="M39" s="86"/>
    </row>
    <row r="40" spans="1:13" ht="13.2" x14ac:dyDescent="0.25">
      <c r="A40" s="282"/>
      <c r="B40" s="282" t="s">
        <v>889</v>
      </c>
      <c r="C40" s="29"/>
      <c r="D40" s="259"/>
      <c r="E40" s="259"/>
      <c r="F40" s="29"/>
      <c r="G40" s="29"/>
      <c r="H40" s="29"/>
      <c r="I40" s="103">
        <f t="shared" si="0"/>
        <v>0</v>
      </c>
      <c r="J40" s="62"/>
      <c r="K40" s="56"/>
      <c r="L40" s="29"/>
      <c r="M40" s="86"/>
    </row>
    <row r="41" spans="1:13" ht="13.2" x14ac:dyDescent="0.25">
      <c r="A41" s="282"/>
      <c r="B41" s="282" t="s">
        <v>890</v>
      </c>
      <c r="C41" s="29"/>
      <c r="D41" s="259"/>
      <c r="E41" s="259"/>
      <c r="F41" s="29"/>
      <c r="G41" s="29"/>
      <c r="H41" s="29"/>
      <c r="I41" s="103">
        <f t="shared" si="0"/>
        <v>0</v>
      </c>
      <c r="J41" s="62"/>
      <c r="K41" s="56"/>
      <c r="L41" s="29"/>
      <c r="M41" s="86"/>
    </row>
    <row r="42" spans="1:13" ht="13.2" x14ac:dyDescent="0.25">
      <c r="A42" s="282"/>
      <c r="B42" s="283" t="str">
        <f>HYPERLINK("http://codeforces.com/contest/201/problem/B","CF201-D1-B")</f>
        <v>CF201-D1-B</v>
      </c>
      <c r="C42" s="29"/>
      <c r="D42" s="259"/>
      <c r="E42" s="259"/>
      <c r="F42" s="29"/>
      <c r="G42" s="29"/>
      <c r="H42" s="29"/>
      <c r="I42" s="103">
        <f t="shared" si="0"/>
        <v>0</v>
      </c>
      <c r="J42" s="62"/>
      <c r="K42" s="56"/>
      <c r="L42" s="29"/>
      <c r="M42" s="86"/>
    </row>
    <row r="43" spans="1:13" ht="13.2" x14ac:dyDescent="0.25">
      <c r="A43" s="282"/>
      <c r="B43" s="283" t="str">
        <f>HYPERLINK("http://codeforces.com/contest/380/problem/C","CF380-D1-C")</f>
        <v>CF380-D1-C</v>
      </c>
      <c r="C43" s="29"/>
      <c r="D43" s="259"/>
      <c r="E43" s="259"/>
      <c r="F43" s="29"/>
      <c r="G43" s="29"/>
      <c r="H43" s="29"/>
      <c r="I43" s="103">
        <f t="shared" si="0"/>
        <v>0</v>
      </c>
      <c r="J43" s="62"/>
      <c r="K43" s="56"/>
      <c r="L43" s="29"/>
      <c r="M43" s="86"/>
    </row>
    <row r="44" spans="1:13" ht="13.2" x14ac:dyDescent="0.25">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x14ac:dyDescent="0.25">
      <c r="A45" s="282"/>
      <c r="B45" s="283" t="str">
        <f>HYPERLINK("https://codeforces.com/problemset/problem/61/E","CF61-D2-E")</f>
        <v>CF61-D2-E</v>
      </c>
      <c r="C45" s="29"/>
      <c r="D45" s="29"/>
      <c r="E45" s="29"/>
      <c r="F45" s="29"/>
      <c r="G45" s="29"/>
      <c r="H45" s="29"/>
      <c r="I45" s="160">
        <f t="shared" si="0"/>
        <v>0</v>
      </c>
      <c r="J45" s="62"/>
      <c r="K45" s="56"/>
      <c r="L45" s="29"/>
      <c r="M45" s="285"/>
    </row>
    <row r="46" spans="1:13" ht="13.2" x14ac:dyDescent="0.25">
      <c r="A46" s="282"/>
      <c r="B46" s="282" t="s">
        <v>891</v>
      </c>
      <c r="C46" s="29"/>
      <c r="D46" s="29"/>
      <c r="E46" s="29"/>
      <c r="F46" s="29"/>
      <c r="G46" s="29"/>
      <c r="H46" s="29"/>
      <c r="I46" s="160">
        <f t="shared" si="0"/>
        <v>0</v>
      </c>
      <c r="J46" s="62"/>
      <c r="K46" s="56"/>
      <c r="L46" s="29"/>
      <c r="M46" s="86"/>
    </row>
    <row r="47" spans="1:13" ht="13.2" x14ac:dyDescent="0.25">
      <c r="A47" s="166"/>
      <c r="B47" s="84"/>
      <c r="C47" s="29"/>
      <c r="D47" s="259"/>
      <c r="E47" s="259"/>
      <c r="F47" s="29"/>
      <c r="G47" s="29"/>
      <c r="H47" s="29"/>
      <c r="I47" s="103">
        <f t="shared" si="0"/>
        <v>0</v>
      </c>
      <c r="J47" s="62"/>
      <c r="K47" s="56"/>
      <c r="L47" s="29"/>
      <c r="M47" s="86"/>
    </row>
    <row r="48" spans="1:13" ht="13.2" x14ac:dyDescent="0.25">
      <c r="A48" s="166" t="s">
        <v>892</v>
      </c>
      <c r="B48" s="84" t="str">
        <f>HYPERLINK("http://codeforces.com/contest/151/problem/D","CF151-D2-D")</f>
        <v>CF151-D2-D</v>
      </c>
      <c r="C48" s="29"/>
      <c r="D48" s="259"/>
      <c r="E48" s="259"/>
      <c r="F48" s="29"/>
      <c r="G48" s="29"/>
      <c r="H48" s="29"/>
      <c r="I48" s="103">
        <f t="shared" si="0"/>
        <v>0</v>
      </c>
      <c r="J48" s="62"/>
      <c r="K48" s="56"/>
      <c r="L48" s="29"/>
      <c r="M48" s="86"/>
    </row>
    <row r="49" spans="1:13" ht="13.2" x14ac:dyDescent="0.25">
      <c r="A49" s="166" t="s">
        <v>893</v>
      </c>
      <c r="B49" s="84" t="str">
        <f>HYPERLINK("http://codeforces.com/contest/61/problem/D","CF61-D2-D")</f>
        <v>CF61-D2-D</v>
      </c>
      <c r="C49" s="29"/>
      <c r="D49" s="259"/>
      <c r="E49" s="259"/>
      <c r="F49" s="29"/>
      <c r="G49" s="29"/>
      <c r="H49" s="29"/>
      <c r="I49" s="103">
        <f t="shared" si="0"/>
        <v>0</v>
      </c>
      <c r="J49" s="62"/>
      <c r="K49" s="56"/>
      <c r="L49" s="29"/>
      <c r="M49" s="86"/>
    </row>
    <row r="50" spans="1:13" ht="13.2" x14ac:dyDescent="0.25">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x14ac:dyDescent="0.25">
      <c r="A51" s="166"/>
      <c r="B51" s="236" t="str">
        <f>HYPERLINK("http://codeforces.com/contest/45/problem/D","CF45-D12-D")</f>
        <v>CF45-D12-D</v>
      </c>
      <c r="C51" s="29"/>
      <c r="D51" s="259"/>
      <c r="E51" s="259"/>
      <c r="F51" s="29"/>
      <c r="G51" s="29"/>
      <c r="H51" s="29"/>
      <c r="I51" s="103">
        <f t="shared" si="0"/>
        <v>0</v>
      </c>
      <c r="J51" s="62"/>
      <c r="K51" s="56"/>
      <c r="L51" s="29"/>
      <c r="M51" s="117"/>
    </row>
    <row r="52" spans="1:13" ht="13.2" x14ac:dyDescent="0.25">
      <c r="A52" s="166"/>
      <c r="B52" s="166" t="s">
        <v>895</v>
      </c>
      <c r="C52" s="29"/>
      <c r="D52" s="259"/>
      <c r="E52" s="259"/>
      <c r="F52" s="29"/>
      <c r="G52" s="29"/>
      <c r="H52" s="29"/>
      <c r="I52" s="103">
        <f t="shared" si="0"/>
        <v>0</v>
      </c>
      <c r="J52" s="62"/>
      <c r="K52" s="56"/>
      <c r="L52" s="29"/>
      <c r="M52" s="117"/>
    </row>
    <row r="53" spans="1:13" ht="13.2" x14ac:dyDescent="0.25">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x14ac:dyDescent="0.25">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x14ac:dyDescent="0.25">
      <c r="A55" s="166"/>
      <c r="B55" s="166" t="s">
        <v>896</v>
      </c>
      <c r="C55" s="29"/>
      <c r="D55" s="259"/>
      <c r="E55" s="259"/>
      <c r="F55" s="29"/>
      <c r="G55" s="29"/>
      <c r="H55" s="29"/>
      <c r="I55" s="103">
        <f t="shared" si="0"/>
        <v>0</v>
      </c>
      <c r="J55" s="62"/>
      <c r="K55" s="56"/>
      <c r="L55" s="29"/>
      <c r="M55" s="117"/>
    </row>
    <row r="56" spans="1:13" ht="13.2" x14ac:dyDescent="0.25">
      <c r="A56" s="166"/>
      <c r="B56" s="166" t="s">
        <v>897</v>
      </c>
      <c r="C56" s="29"/>
      <c r="D56" s="259"/>
      <c r="E56" s="259"/>
      <c r="F56" s="29"/>
      <c r="G56" s="29"/>
      <c r="H56" s="29"/>
      <c r="I56" s="103">
        <f t="shared" si="0"/>
        <v>0</v>
      </c>
      <c r="J56" s="62"/>
      <c r="K56" s="56"/>
      <c r="L56" s="29"/>
      <c r="M56" s="117"/>
    </row>
    <row r="57" spans="1:13" ht="13.2" x14ac:dyDescent="0.25">
      <c r="A57" s="166"/>
      <c r="B57" s="166" t="s">
        <v>898</v>
      </c>
      <c r="C57" s="29"/>
      <c r="D57" s="259"/>
      <c r="E57" s="259"/>
      <c r="F57" s="29"/>
      <c r="G57" s="29"/>
      <c r="H57" s="29"/>
      <c r="I57" s="103">
        <f t="shared" si="0"/>
        <v>0</v>
      </c>
      <c r="J57" s="62"/>
      <c r="K57" s="56"/>
      <c r="L57" s="29"/>
      <c r="M57" s="117"/>
    </row>
    <row r="58" spans="1:13" ht="13.2" x14ac:dyDescent="0.25">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x14ac:dyDescent="0.25">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x14ac:dyDescent="0.25">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x14ac:dyDescent="0.25">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x14ac:dyDescent="0.25">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x14ac:dyDescent="0.25">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x14ac:dyDescent="0.25">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x14ac:dyDescent="0.25">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x14ac:dyDescent="0.25">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x14ac:dyDescent="0.25">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x14ac:dyDescent="0.25">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x14ac:dyDescent="0.25">
      <c r="A69" s="291" t="s">
        <v>908</v>
      </c>
      <c r="B69" s="212" t="str">
        <f>HYPERLINK("http://www.spoj.com/problems/GSS3/","SPOJ GSS3")</f>
        <v>SPOJ GSS3</v>
      </c>
      <c r="C69" s="29"/>
      <c r="D69" s="259"/>
      <c r="E69" s="259"/>
      <c r="F69" s="29"/>
      <c r="G69" s="29"/>
      <c r="H69" s="29"/>
      <c r="I69" s="103">
        <f t="shared" si="0"/>
        <v>0</v>
      </c>
      <c r="J69" s="93"/>
      <c r="K69" s="92"/>
      <c r="L69" s="29"/>
    </row>
    <row r="70" spans="1:13" ht="13.2" x14ac:dyDescent="0.25">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x14ac:dyDescent="0.25">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x14ac:dyDescent="0.25">
      <c r="A72" s="291"/>
      <c r="B72" s="292" t="str">
        <f>HYPERLINK("http://codeforces.com/contest/472/problem/D","CF472-D12-D")</f>
        <v>CF472-D12-D</v>
      </c>
      <c r="C72" s="29"/>
      <c r="D72" s="259"/>
      <c r="E72" s="259"/>
      <c r="F72" s="29"/>
      <c r="G72" s="29"/>
      <c r="H72" s="29"/>
      <c r="I72" s="103">
        <f t="shared" si="0"/>
        <v>0</v>
      </c>
      <c r="J72" s="93"/>
      <c r="K72" s="92"/>
      <c r="L72" s="29"/>
    </row>
    <row r="73" spans="1:13" ht="13.2" x14ac:dyDescent="0.25">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x14ac:dyDescent="0.25">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x14ac:dyDescent="0.25">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x14ac:dyDescent="0.25">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x14ac:dyDescent="0.25">
      <c r="A77" s="291"/>
      <c r="B77" s="292" t="str">
        <f>HYPERLINK("http://codeforces.com/contest/80/problem/D","CF80-D2-D")</f>
        <v>CF80-D2-D</v>
      </c>
      <c r="C77" s="29"/>
      <c r="D77" s="259"/>
      <c r="E77" s="259"/>
      <c r="F77" s="29"/>
      <c r="G77" s="29"/>
      <c r="H77" s="29"/>
      <c r="I77" s="103">
        <f t="shared" si="0"/>
        <v>0</v>
      </c>
      <c r="J77" s="93"/>
      <c r="K77" s="92"/>
      <c r="L77" s="29"/>
    </row>
    <row r="78" spans="1:13" ht="13.2" x14ac:dyDescent="0.25">
      <c r="A78" s="83"/>
      <c r="B78" s="84"/>
      <c r="C78" s="29"/>
      <c r="D78" s="259"/>
      <c r="E78" s="259"/>
      <c r="F78" s="29"/>
      <c r="G78" s="29"/>
      <c r="H78" s="29"/>
      <c r="I78" s="103">
        <f t="shared" si="0"/>
        <v>0</v>
      </c>
      <c r="J78" s="62"/>
      <c r="K78" s="56"/>
      <c r="L78" s="29"/>
      <c r="M78" s="117"/>
    </row>
    <row r="79" spans="1:13" ht="13.2" x14ac:dyDescent="0.25">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x14ac:dyDescent="0.25">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x14ac:dyDescent="0.25">
      <c r="A81" s="86" t="s">
        <v>916</v>
      </c>
      <c r="B81" s="295" t="str">
        <f>HYPERLINK("http://codeforces.com/contest/617/problem/D","CF617-D2-D")</f>
        <v>CF617-D2-D</v>
      </c>
      <c r="C81" s="29"/>
      <c r="D81" s="259"/>
      <c r="E81" s="259"/>
      <c r="F81" s="29"/>
      <c r="G81" s="29"/>
      <c r="H81" s="29"/>
      <c r="I81" s="103">
        <f t="shared" si="0"/>
        <v>0</v>
      </c>
      <c r="J81" s="93"/>
      <c r="K81" s="92"/>
      <c r="L81" s="29"/>
      <c r="M81" s="29"/>
    </row>
    <row r="82" spans="1:13" ht="13.2" x14ac:dyDescent="0.25">
      <c r="A82" s="86" t="s">
        <v>638</v>
      </c>
      <c r="B82" s="295" t="str">
        <f>HYPERLINK("http://codeforces.com/contest/92/problem/D","CF92-D2-D")</f>
        <v>CF92-D2-D</v>
      </c>
      <c r="C82" s="29"/>
      <c r="D82" s="259"/>
      <c r="E82" s="259"/>
      <c r="F82" s="29"/>
      <c r="G82" s="29"/>
      <c r="H82" s="29"/>
      <c r="I82" s="103">
        <f t="shared" si="0"/>
        <v>0</v>
      </c>
      <c r="J82" s="93"/>
      <c r="K82" s="92"/>
      <c r="L82" s="29"/>
      <c r="M82" s="29"/>
    </row>
    <row r="83" spans="1:13" ht="13.2" x14ac:dyDescent="0.25">
      <c r="A83" s="86"/>
      <c r="B83" s="295" t="str">
        <f>HYPERLINK("http://codeforces.com/contest/1038/problem/D","CF1038-D2-D")</f>
        <v>CF1038-D2-D</v>
      </c>
      <c r="C83" s="29"/>
      <c r="D83" s="259"/>
      <c r="E83" s="259"/>
      <c r="F83" s="29"/>
      <c r="G83" s="29"/>
      <c r="H83" s="29"/>
      <c r="I83" s="103">
        <f t="shared" si="0"/>
        <v>0</v>
      </c>
      <c r="J83" s="93"/>
      <c r="K83" s="92"/>
      <c r="L83" s="29"/>
      <c r="M83" s="29"/>
    </row>
    <row r="84" spans="1:13" ht="13.2" x14ac:dyDescent="0.25">
      <c r="A84" s="86"/>
      <c r="B84" s="295" t="str">
        <f>HYPERLINK("http://codeforces.com/contest/552/problem/D","CF552-D2-D")</f>
        <v>CF552-D2-D</v>
      </c>
      <c r="C84" s="29"/>
      <c r="D84" s="259"/>
      <c r="E84" s="259"/>
      <c r="F84" s="29"/>
      <c r="G84" s="29"/>
      <c r="H84" s="29"/>
      <c r="I84" s="103">
        <f t="shared" si="0"/>
        <v>0</v>
      </c>
      <c r="J84" s="93"/>
      <c r="K84" s="92"/>
      <c r="L84" s="29"/>
      <c r="M84" s="29"/>
    </row>
    <row r="85" spans="1:13" ht="13.2" x14ac:dyDescent="0.25">
      <c r="A85" s="86"/>
      <c r="B85" s="295" t="str">
        <f>HYPERLINK("https://codeforces.com/gym/101917/problem/E", "CF101917-D12-E")</f>
        <v>CF101917-D12-E</v>
      </c>
      <c r="C85" s="29"/>
      <c r="D85" s="259"/>
      <c r="E85" s="259"/>
      <c r="F85" s="29"/>
      <c r="G85" s="29"/>
      <c r="H85" s="29"/>
      <c r="I85" s="103">
        <f t="shared" si="0"/>
        <v>0</v>
      </c>
      <c r="J85" s="93"/>
      <c r="K85" s="92"/>
      <c r="L85" s="29"/>
      <c r="M85" s="29"/>
    </row>
    <row r="86" spans="1:13" ht="13.2" x14ac:dyDescent="0.25">
      <c r="A86" s="86"/>
      <c r="B86" s="295" t="str">
        <f>HYPERLINK("http://codeforces.com/contest/1058/problem/D","CF1058-D2-D")</f>
        <v>CF1058-D2-D</v>
      </c>
      <c r="C86" s="29"/>
      <c r="D86" s="259"/>
      <c r="E86" s="259"/>
      <c r="F86" s="29"/>
      <c r="G86" s="29"/>
      <c r="H86" s="29"/>
      <c r="I86" s="103">
        <f t="shared" si="0"/>
        <v>0</v>
      </c>
      <c r="J86" s="93"/>
      <c r="K86" s="92"/>
      <c r="L86" s="29"/>
      <c r="M86" s="29"/>
    </row>
    <row r="87" spans="1:13" ht="13.2" x14ac:dyDescent="0.25">
      <c r="A87" s="86"/>
      <c r="B87" s="295" t="str">
        <f>HYPERLINK("http://codeforces.com/contest/1043/problem/D", "CF1042-D12-D")</f>
        <v>CF1042-D12-D</v>
      </c>
      <c r="C87" s="29"/>
      <c r="D87" s="259"/>
      <c r="E87" s="259"/>
      <c r="F87" s="29"/>
      <c r="G87" s="29"/>
      <c r="H87" s="29"/>
      <c r="I87" s="103">
        <f t="shared" si="0"/>
        <v>0</v>
      </c>
      <c r="J87" s="93"/>
      <c r="K87" s="92"/>
      <c r="L87" s="29"/>
      <c r="M87" s="29"/>
    </row>
    <row r="88" spans="1:13" ht="13.2" x14ac:dyDescent="0.25">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x14ac:dyDescent="0.25">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x14ac:dyDescent="0.25">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x14ac:dyDescent="0.25">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x14ac:dyDescent="0.25">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x14ac:dyDescent="0.25">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x14ac:dyDescent="0.25">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x14ac:dyDescent="0.25">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x14ac:dyDescent="0.25">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x14ac:dyDescent="0.25">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x14ac:dyDescent="0.25">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x14ac:dyDescent="0.25">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x14ac:dyDescent="0.25">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x14ac:dyDescent="0.25">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x14ac:dyDescent="0.25">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x14ac:dyDescent="0.25">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x14ac:dyDescent="0.25">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x14ac:dyDescent="0.25">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x14ac:dyDescent="0.25">
      <c r="A106" s="301"/>
      <c r="B106" s="301" t="s">
        <v>932</v>
      </c>
      <c r="C106" s="29"/>
      <c r="D106" s="259"/>
      <c r="E106" s="259"/>
      <c r="F106" s="29"/>
      <c r="G106" s="29"/>
      <c r="H106" s="29"/>
      <c r="I106" s="103">
        <f t="shared" si="0"/>
        <v>0</v>
      </c>
      <c r="J106" s="62"/>
      <c r="K106" s="56"/>
      <c r="L106" s="29"/>
    </row>
    <row r="107" spans="1:13" ht="13.2" x14ac:dyDescent="0.25">
      <c r="A107" s="303"/>
      <c r="B107" s="304"/>
      <c r="C107" s="29"/>
      <c r="D107" s="259"/>
      <c r="E107" s="259"/>
      <c r="F107" s="29"/>
      <c r="G107" s="29"/>
      <c r="H107" s="29"/>
      <c r="I107" s="103">
        <f t="shared" si="0"/>
        <v>0</v>
      </c>
      <c r="J107" s="62"/>
      <c r="K107" s="56"/>
      <c r="L107" s="29"/>
    </row>
    <row r="108" spans="1:13" ht="13.2" x14ac:dyDescent="0.25">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x14ac:dyDescent="0.25">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x14ac:dyDescent="0.25">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x14ac:dyDescent="0.25">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x14ac:dyDescent="0.25">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x14ac:dyDescent="0.25">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x14ac:dyDescent="0.25">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x14ac:dyDescent="0.25">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x14ac:dyDescent="0.25">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x14ac:dyDescent="0.25">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x14ac:dyDescent="0.25">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x14ac:dyDescent="0.25">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x14ac:dyDescent="0.25">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x14ac:dyDescent="0.25">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x14ac:dyDescent="0.25">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x14ac:dyDescent="0.25">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x14ac:dyDescent="0.25">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x14ac:dyDescent="0.25">
      <c r="A125" s="63"/>
      <c r="B125" s="309"/>
      <c r="C125" s="29"/>
      <c r="D125" s="259"/>
      <c r="E125" s="259"/>
      <c r="F125" s="29"/>
      <c r="G125" s="29"/>
      <c r="H125" s="29"/>
      <c r="I125" s="103">
        <f t="shared" si="0"/>
        <v>0</v>
      </c>
      <c r="J125" s="62"/>
      <c r="K125" s="56"/>
      <c r="L125" s="29"/>
      <c r="M125" s="86"/>
    </row>
    <row r="126" spans="1:13" ht="13.2" x14ac:dyDescent="0.25">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x14ac:dyDescent="0.25">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x14ac:dyDescent="0.25">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x14ac:dyDescent="0.25">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x14ac:dyDescent="0.25">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x14ac:dyDescent="0.25">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x14ac:dyDescent="0.25">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x14ac:dyDescent="0.25">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x14ac:dyDescent="0.25">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x14ac:dyDescent="0.25">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x14ac:dyDescent="0.25">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x14ac:dyDescent="0.25">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x14ac:dyDescent="0.25">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x14ac:dyDescent="0.25">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x14ac:dyDescent="0.25">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x14ac:dyDescent="0.25">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x14ac:dyDescent="0.25">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x14ac:dyDescent="0.25">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x14ac:dyDescent="0.25">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x14ac:dyDescent="0.25">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x14ac:dyDescent="0.25">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x14ac:dyDescent="0.25">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x14ac:dyDescent="0.25">
      <c r="A148" s="127"/>
      <c r="B148" s="87"/>
      <c r="C148" s="29"/>
      <c r="D148" s="259"/>
      <c r="E148" s="259"/>
      <c r="F148" s="29"/>
      <c r="G148" s="29"/>
      <c r="H148" s="29"/>
      <c r="I148" s="103">
        <f t="shared" si="0"/>
        <v>0</v>
      </c>
      <c r="J148" s="93"/>
      <c r="K148" s="92"/>
      <c r="L148" s="29"/>
      <c r="M148" s="29"/>
    </row>
    <row r="149" spans="1:13" ht="13.2" x14ac:dyDescent="0.25">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x14ac:dyDescent="0.25">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x14ac:dyDescent="0.25">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x14ac:dyDescent="0.25">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x14ac:dyDescent="0.25">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x14ac:dyDescent="0.25">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x14ac:dyDescent="0.25">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x14ac:dyDescent="0.25">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x14ac:dyDescent="0.25">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x14ac:dyDescent="0.25">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x14ac:dyDescent="0.25">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x14ac:dyDescent="0.25">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x14ac:dyDescent="0.25"/>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x14ac:dyDescent="0.25">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x14ac:dyDescent="0.25">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x14ac:dyDescent="0.25">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x14ac:dyDescent="0.25">
      <c r="A4" s="315" t="s">
        <v>970</v>
      </c>
      <c r="B4" s="316" t="str">
        <f>HYPERLINK("http://poj.org/problem?id=3461","PKU 3461")</f>
        <v>PKU 3461</v>
      </c>
      <c r="C4" s="159"/>
      <c r="D4" s="159"/>
      <c r="E4" s="159"/>
      <c r="F4" s="159"/>
      <c r="G4" s="159"/>
      <c r="H4" s="160"/>
      <c r="I4" s="57">
        <f t="shared" si="0"/>
        <v>0</v>
      </c>
      <c r="J4" s="62"/>
      <c r="K4" s="56"/>
      <c r="L4" s="29"/>
      <c r="M4" s="86"/>
    </row>
    <row r="5" spans="1:13" ht="15.75" customHeight="1" x14ac:dyDescent="0.25">
      <c r="A5" s="276" t="s">
        <v>971</v>
      </c>
      <c r="B5" s="316" t="str">
        <f>HYPERLINK("http://www.spoj.com/problems/NHAY","SPOJ NHAY")</f>
        <v>SPOJ NHAY</v>
      </c>
      <c r="C5" s="159"/>
      <c r="D5" s="159"/>
      <c r="E5" s="159"/>
      <c r="F5" s="159"/>
      <c r="G5" s="159"/>
      <c r="H5" s="160"/>
      <c r="I5" s="57">
        <f t="shared" si="0"/>
        <v>0</v>
      </c>
      <c r="J5" s="62"/>
      <c r="K5" s="56"/>
      <c r="L5" s="29"/>
      <c r="M5" s="86"/>
    </row>
    <row r="6" spans="1:13" ht="15.75" customHeight="1" x14ac:dyDescent="0.25">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x14ac:dyDescent="0.25">
      <c r="A7" s="317" t="s">
        <v>973</v>
      </c>
      <c r="B7" s="316" t="str">
        <f>HYPERLINK("http://www.spoj.com/problems/PERIOD/","SPOJ PERIOD")</f>
        <v>SPOJ PERIOD</v>
      </c>
      <c r="C7" s="159"/>
      <c r="D7" s="159"/>
      <c r="E7" s="159"/>
      <c r="F7" s="159"/>
      <c r="G7" s="159"/>
      <c r="H7" s="160"/>
      <c r="I7" s="57">
        <f t="shared" si="0"/>
        <v>0</v>
      </c>
      <c r="J7" s="62"/>
      <c r="K7" s="56"/>
      <c r="M7" s="86"/>
    </row>
    <row r="8" spans="1:13" ht="15.75" customHeight="1" x14ac:dyDescent="0.25">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x14ac:dyDescent="0.25">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x14ac:dyDescent="0.25">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x14ac:dyDescent="0.25">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x14ac:dyDescent="0.25">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x14ac:dyDescent="0.25">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x14ac:dyDescent="0.25">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x14ac:dyDescent="0.25">
      <c r="A15" s="291"/>
      <c r="B15" s="219" t="s">
        <v>979</v>
      </c>
      <c r="C15" s="159"/>
      <c r="D15" s="159"/>
      <c r="E15" s="159"/>
      <c r="F15" s="159"/>
      <c r="G15" s="159"/>
      <c r="H15" s="160"/>
      <c r="I15" s="57">
        <f t="shared" si="0"/>
        <v>0</v>
      </c>
      <c r="J15" s="93"/>
      <c r="K15" s="92"/>
      <c r="L15" s="29"/>
      <c r="M15" s="63"/>
    </row>
    <row r="16" spans="1:13" ht="15.75" customHeight="1" x14ac:dyDescent="0.25">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x14ac:dyDescent="0.25">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x14ac:dyDescent="0.25">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x14ac:dyDescent="0.25">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x14ac:dyDescent="0.25">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x14ac:dyDescent="0.25">
      <c r="A21" s="166"/>
      <c r="B21" s="265"/>
      <c r="C21" s="159"/>
      <c r="D21" s="159"/>
      <c r="E21" s="159"/>
      <c r="F21" s="159"/>
      <c r="G21" s="159"/>
      <c r="H21" s="160"/>
      <c r="I21" s="57">
        <f t="shared" si="0"/>
        <v>0</v>
      </c>
      <c r="J21" s="62"/>
      <c r="K21" s="56"/>
      <c r="L21" s="29"/>
      <c r="M21" s="63"/>
    </row>
    <row r="22" spans="1:13" ht="13.2" x14ac:dyDescent="0.25">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x14ac:dyDescent="0.25">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x14ac:dyDescent="0.25">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x14ac:dyDescent="0.25">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x14ac:dyDescent="0.25">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x14ac:dyDescent="0.25">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x14ac:dyDescent="0.25">
      <c r="A28" s="166"/>
      <c r="B28" s="176" t="str">
        <f>HYPERLINK("http://codeforces.com/contest/1023/problem/E","CF1023-D12-E")</f>
        <v>CF1023-D12-E</v>
      </c>
      <c r="C28" s="159"/>
      <c r="D28" s="159"/>
      <c r="E28" s="159"/>
      <c r="F28" s="159"/>
      <c r="G28" s="159"/>
      <c r="H28" s="160"/>
      <c r="I28" s="57">
        <f t="shared" si="0"/>
        <v>0</v>
      </c>
      <c r="J28" s="62"/>
      <c r="K28" s="56"/>
      <c r="L28" s="29"/>
      <c r="M28" s="86"/>
    </row>
    <row r="29" spans="1:13" ht="13.2" x14ac:dyDescent="0.25">
      <c r="A29" s="166"/>
      <c r="B29" s="176" t="str">
        <f>HYPERLINK("https://codeforces.com/contest/1060/problem/C","CF1060-D12-C")</f>
        <v>CF1060-D12-C</v>
      </c>
      <c r="C29" s="159"/>
      <c r="D29" s="159"/>
      <c r="E29" s="159"/>
      <c r="F29" s="159"/>
      <c r="G29" s="159"/>
      <c r="H29" s="160"/>
      <c r="I29" s="57">
        <f t="shared" si="0"/>
        <v>0</v>
      </c>
      <c r="J29" s="62"/>
      <c r="K29" s="56"/>
      <c r="L29" s="29"/>
      <c r="M29" s="86"/>
    </row>
    <row r="30" spans="1:13" ht="13.2" x14ac:dyDescent="0.25">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x14ac:dyDescent="0.25">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x14ac:dyDescent="0.25">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x14ac:dyDescent="0.25">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x14ac:dyDescent="0.25">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x14ac:dyDescent="0.25">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x14ac:dyDescent="0.25">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x14ac:dyDescent="0.25">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x14ac:dyDescent="0.25">
      <c r="A38" s="318"/>
      <c r="B38" s="319" t="str">
        <f>HYPERLINK("https://codeforces.com/contest/1147/problem/B", "CF1147-D1-B")</f>
        <v>CF1147-D1-B</v>
      </c>
      <c r="C38" s="159"/>
      <c r="D38" s="159"/>
      <c r="E38" s="159"/>
      <c r="F38" s="159"/>
      <c r="G38" s="159"/>
      <c r="H38" s="160"/>
      <c r="I38" s="57">
        <f t="shared" si="0"/>
        <v>0</v>
      </c>
      <c r="J38" s="62"/>
      <c r="K38" s="56"/>
      <c r="L38" s="29"/>
      <c r="M38" s="63"/>
    </row>
    <row r="39" spans="1:13" ht="13.2" x14ac:dyDescent="0.25">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x14ac:dyDescent="0.25">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x14ac:dyDescent="0.25">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x14ac:dyDescent="0.25">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x14ac:dyDescent="0.25">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x14ac:dyDescent="0.25">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x14ac:dyDescent="0.25">
      <c r="A45" s="263"/>
      <c r="B45" s="257" t="s">
        <v>1001</v>
      </c>
      <c r="C45" s="159"/>
      <c r="D45" s="159"/>
      <c r="E45" s="159"/>
      <c r="F45" s="159"/>
      <c r="G45" s="159"/>
      <c r="H45" s="160"/>
      <c r="I45" s="57">
        <f t="shared" si="0"/>
        <v>0</v>
      </c>
      <c r="J45" s="93"/>
      <c r="K45" s="92"/>
      <c r="L45" s="29"/>
      <c r="M45" s="63"/>
    </row>
    <row r="46" spans="1:13" ht="13.2" x14ac:dyDescent="0.25">
      <c r="A46" s="166"/>
      <c r="B46" s="265"/>
      <c r="C46" s="159"/>
      <c r="D46" s="159"/>
      <c r="E46" s="159"/>
      <c r="F46" s="159"/>
      <c r="G46" s="159"/>
      <c r="H46" s="160"/>
      <c r="I46" s="57">
        <f t="shared" si="0"/>
        <v>0</v>
      </c>
      <c r="J46" s="62"/>
      <c r="K46" s="56"/>
      <c r="L46" s="29"/>
      <c r="M46" s="86"/>
    </row>
    <row r="47" spans="1:13" ht="13.2" x14ac:dyDescent="0.25">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x14ac:dyDescent="0.25">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x14ac:dyDescent="0.25">
      <c r="A49" s="166" t="s">
        <v>1004</v>
      </c>
      <c r="B49" s="330" t="str">
        <f>HYPERLINK("http://codeforces.com/contest/75/problem/D","CF75-D2-D")</f>
        <v>CF75-D2-D</v>
      </c>
      <c r="C49" s="159"/>
      <c r="D49" s="159"/>
      <c r="E49" s="159"/>
      <c r="F49" s="159"/>
      <c r="G49" s="159"/>
      <c r="H49" s="160"/>
      <c r="I49" s="57">
        <f t="shared" si="0"/>
        <v>0</v>
      </c>
      <c r="J49" s="62"/>
      <c r="K49" s="56"/>
      <c r="L49" s="29"/>
    </row>
    <row r="50" spans="1:13" ht="13.2" x14ac:dyDescent="0.25">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x14ac:dyDescent="0.25">
      <c r="A51" s="166"/>
      <c r="B51" s="330" t="str">
        <f>HYPERLINK("https://codeforces.com/contest/1057/problem/C","CF1057-D12-C")</f>
        <v>CF1057-D12-C</v>
      </c>
      <c r="C51" s="159"/>
      <c r="D51" s="159"/>
      <c r="E51" s="159"/>
      <c r="F51" s="159"/>
      <c r="G51" s="159"/>
      <c r="H51" s="160"/>
      <c r="I51" s="57">
        <f t="shared" si="0"/>
        <v>0</v>
      </c>
      <c r="J51" s="62"/>
      <c r="K51" s="56"/>
      <c r="L51" s="29"/>
    </row>
    <row r="52" spans="1:13" ht="13.2" x14ac:dyDescent="0.25">
      <c r="A52" s="166"/>
      <c r="B52" s="330" t="str">
        <f>HYPERLINK("https://codeforces.com/contest/1066/problem/F","CF1066-D3-F")</f>
        <v>CF1066-D3-F</v>
      </c>
      <c r="C52" s="159"/>
      <c r="D52" s="159"/>
      <c r="E52" s="159"/>
      <c r="F52" s="159"/>
      <c r="G52" s="159"/>
      <c r="H52" s="160"/>
      <c r="I52" s="57">
        <f t="shared" si="0"/>
        <v>0</v>
      </c>
      <c r="J52" s="62"/>
      <c r="K52" s="56"/>
      <c r="L52" s="29"/>
    </row>
    <row r="53" spans="1:13" ht="13.2" x14ac:dyDescent="0.25">
      <c r="A53" s="166"/>
      <c r="B53" s="330" t="str">
        <f>HYPERLINK("https://codeforces.com/contest/1064/problem/E","CF1064-D2-E")</f>
        <v>CF1064-D2-E</v>
      </c>
      <c r="C53" s="159"/>
      <c r="D53" s="159"/>
      <c r="E53" s="159"/>
      <c r="F53" s="159"/>
      <c r="G53" s="159"/>
      <c r="H53" s="160"/>
      <c r="I53" s="57">
        <f t="shared" si="0"/>
        <v>0</v>
      </c>
      <c r="J53" s="62"/>
      <c r="K53" s="56"/>
      <c r="L53" s="29"/>
    </row>
    <row r="54" spans="1:13" ht="13.2" x14ac:dyDescent="0.25">
      <c r="A54" s="166"/>
      <c r="B54" s="330" t="str">
        <f>HYPERLINK("http://codeforces.com/contest/459/problem/E","CF459-D2-E")</f>
        <v>CF459-D2-E</v>
      </c>
      <c r="C54" s="159"/>
      <c r="D54" s="159"/>
      <c r="E54" s="159"/>
      <c r="F54" s="159"/>
      <c r="G54" s="159"/>
      <c r="H54" s="160"/>
      <c r="I54" s="57">
        <f t="shared" si="0"/>
        <v>0</v>
      </c>
      <c r="J54" s="62"/>
      <c r="K54" s="56"/>
      <c r="L54" s="29"/>
    </row>
    <row r="55" spans="1:13" ht="13.2" x14ac:dyDescent="0.25">
      <c r="A55" s="166"/>
      <c r="B55" s="265" t="s">
        <v>1006</v>
      </c>
      <c r="C55" s="159"/>
      <c r="D55" s="159"/>
      <c r="E55" s="159"/>
      <c r="F55" s="159"/>
      <c r="G55" s="159"/>
      <c r="H55" s="160"/>
      <c r="I55" s="57">
        <f t="shared" si="0"/>
        <v>0</v>
      </c>
      <c r="J55" s="62"/>
      <c r="K55" s="56"/>
      <c r="L55" s="29"/>
    </row>
    <row r="56" spans="1:13" ht="13.2" x14ac:dyDescent="0.25">
      <c r="A56" s="166"/>
      <c r="B56" s="330" t="str">
        <f>HYPERLINK("http://codeforces.com/contest/1043/problem/D","CF1043-D12-D")</f>
        <v>CF1043-D12-D</v>
      </c>
      <c r="C56" s="159"/>
      <c r="D56" s="159"/>
      <c r="E56" s="159"/>
      <c r="F56" s="159"/>
      <c r="G56" s="159"/>
      <c r="H56" s="160"/>
      <c r="I56" s="57">
        <f t="shared" si="0"/>
        <v>0</v>
      </c>
      <c r="J56" s="62"/>
      <c r="K56" s="56"/>
      <c r="L56" s="29"/>
    </row>
    <row r="57" spans="1:13" ht="13.2" x14ac:dyDescent="0.25">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x14ac:dyDescent="0.25">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x14ac:dyDescent="0.25">
      <c r="A59" s="166"/>
      <c r="B59" s="265"/>
      <c r="C59" s="159"/>
      <c r="D59" s="159"/>
      <c r="E59" s="159"/>
      <c r="F59" s="159"/>
      <c r="G59" s="159"/>
      <c r="H59" s="160"/>
      <c r="I59" s="57">
        <f t="shared" si="0"/>
        <v>0</v>
      </c>
      <c r="J59" s="62"/>
      <c r="K59" s="56"/>
      <c r="L59" s="29"/>
      <c r="M59" s="86"/>
    </row>
    <row r="60" spans="1:13" ht="13.2" x14ac:dyDescent="0.25">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x14ac:dyDescent="0.25">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x14ac:dyDescent="0.25">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x14ac:dyDescent="0.25">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x14ac:dyDescent="0.25">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x14ac:dyDescent="0.25">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x14ac:dyDescent="0.25">
      <c r="A66" s="263" t="s">
        <v>1015</v>
      </c>
      <c r="B66" s="327" t="str">
        <f>HYPERLINK("http://codeforces.com/contest/689/problem/D","CF689-D2-D")</f>
        <v>CF689-D2-D</v>
      </c>
      <c r="C66" s="159"/>
      <c r="D66" s="159"/>
      <c r="E66" s="159"/>
      <c r="F66" s="159"/>
      <c r="G66" s="159"/>
      <c r="H66" s="160"/>
      <c r="I66" s="57">
        <f t="shared" si="0"/>
        <v>0</v>
      </c>
      <c r="J66" s="26"/>
      <c r="K66" s="29"/>
      <c r="M66" s="63"/>
    </row>
    <row r="67" spans="1:13" ht="13.2" x14ac:dyDescent="0.25">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x14ac:dyDescent="0.25">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x14ac:dyDescent="0.25">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x14ac:dyDescent="0.25">
      <c r="A70" s="328"/>
      <c r="B70" s="332" t="s">
        <v>1020</v>
      </c>
      <c r="C70" s="159"/>
      <c r="D70" s="159"/>
      <c r="E70" s="159"/>
      <c r="F70" s="159"/>
      <c r="G70" s="159"/>
      <c r="H70" s="160"/>
      <c r="I70" s="57">
        <f t="shared" si="0"/>
        <v>0</v>
      </c>
      <c r="J70" s="26"/>
      <c r="K70" s="29"/>
      <c r="M70" s="63"/>
    </row>
    <row r="71" spans="1:13" ht="13.2" x14ac:dyDescent="0.25">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x14ac:dyDescent="0.25">
      <c r="A72" s="282"/>
      <c r="B72" s="282" t="s">
        <v>1021</v>
      </c>
      <c r="C72" s="159"/>
      <c r="D72" s="159"/>
      <c r="E72" s="159"/>
      <c r="F72" s="159"/>
      <c r="G72" s="159"/>
      <c r="H72" s="160"/>
      <c r="I72" s="57">
        <f t="shared" si="0"/>
        <v>0</v>
      </c>
      <c r="J72" s="26"/>
      <c r="K72" s="29"/>
      <c r="M72" s="63"/>
    </row>
    <row r="73" spans="1:13" ht="13.2" x14ac:dyDescent="0.25">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x14ac:dyDescent="0.25">
      <c r="A74" s="282"/>
      <c r="B74" s="283" t="str">
        <f>HYPERLINK("https://codeforces.com/contest/1138/problem/D","CF1138-D2-D")</f>
        <v>CF1138-D2-D</v>
      </c>
      <c r="C74" s="159"/>
      <c r="D74" s="159"/>
      <c r="E74" s="159"/>
      <c r="F74" s="159"/>
      <c r="G74" s="159"/>
      <c r="H74" s="160"/>
      <c r="I74" s="57">
        <f t="shared" si="0"/>
        <v>0</v>
      </c>
      <c r="J74" s="26"/>
      <c r="K74" s="29"/>
      <c r="M74" s="63"/>
    </row>
    <row r="75" spans="1:13" ht="13.2" x14ac:dyDescent="0.25">
      <c r="A75" s="166"/>
      <c r="B75" s="265"/>
      <c r="C75" s="159"/>
      <c r="D75" s="159"/>
      <c r="E75" s="159"/>
      <c r="F75" s="159"/>
      <c r="G75" s="159"/>
      <c r="H75" s="160"/>
      <c r="I75" s="57">
        <f t="shared" si="0"/>
        <v>0</v>
      </c>
      <c r="J75" s="62"/>
      <c r="K75" s="56"/>
      <c r="L75" s="29"/>
      <c r="M75" s="86"/>
    </row>
    <row r="76" spans="1:13" ht="13.2" x14ac:dyDescent="0.25">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x14ac:dyDescent="0.25">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x14ac:dyDescent="0.25">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x14ac:dyDescent="0.25">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x14ac:dyDescent="0.25">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x14ac:dyDescent="0.25">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x14ac:dyDescent="0.25">
      <c r="A82" s="86"/>
      <c r="B82" s="185" t="str">
        <f>HYPERLINK("http://codeforces.com/contest/645/problem/D","CF645-D12-D")</f>
        <v>CF645-D12-D</v>
      </c>
      <c r="C82" s="159"/>
      <c r="D82" s="159"/>
      <c r="E82" s="159"/>
      <c r="F82" s="159"/>
      <c r="G82" s="159"/>
      <c r="H82" s="160"/>
      <c r="I82" s="57">
        <f t="shared" si="0"/>
        <v>0</v>
      </c>
      <c r="J82" s="93"/>
      <c r="K82" s="92"/>
      <c r="L82" s="29"/>
      <c r="M82" s="29"/>
    </row>
    <row r="83" spans="1:13" ht="13.2" x14ac:dyDescent="0.25">
      <c r="A83" s="86"/>
      <c r="B83" s="185" t="str">
        <f>HYPERLINK("http://codeforces.com/contest/459/problem/C","CF459-D2-C")</f>
        <v>CF459-D2-C</v>
      </c>
      <c r="C83" s="159"/>
      <c r="D83" s="159"/>
      <c r="E83" s="159"/>
      <c r="F83" s="159"/>
      <c r="G83" s="159"/>
      <c r="H83" s="160"/>
      <c r="I83" s="57">
        <f t="shared" si="0"/>
        <v>0</v>
      </c>
      <c r="J83" s="93"/>
      <c r="K83" s="92"/>
      <c r="L83" s="29"/>
      <c r="M83" s="29"/>
    </row>
    <row r="84" spans="1:13" ht="26.4" x14ac:dyDescent="0.25">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x14ac:dyDescent="0.25">
      <c r="A85" s="86"/>
      <c r="B85" s="185" t="str">
        <f>HYPERLINK("http://codeforces.com/contest/1005/problem/F","CF1005-D3-F")</f>
        <v>CF1005-D3-F</v>
      </c>
      <c r="C85" s="159"/>
      <c r="D85" s="159"/>
      <c r="E85" s="159"/>
      <c r="F85" s="159"/>
      <c r="G85" s="159"/>
      <c r="H85" s="160"/>
      <c r="I85" s="57">
        <f t="shared" si="0"/>
        <v>0</v>
      </c>
      <c r="J85" s="93"/>
      <c r="K85" s="92"/>
      <c r="L85" s="29"/>
      <c r="M85" s="29"/>
    </row>
    <row r="86" spans="1:13" ht="13.2" x14ac:dyDescent="0.25">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x14ac:dyDescent="0.25">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x14ac:dyDescent="0.25">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x14ac:dyDescent="0.25">
      <c r="A89" s="166"/>
      <c r="B89" s="265"/>
      <c r="C89" s="159"/>
      <c r="D89" s="159"/>
      <c r="E89" s="159"/>
      <c r="F89" s="159"/>
      <c r="G89" s="159"/>
      <c r="H89" s="160"/>
      <c r="I89" s="57">
        <f t="shared" si="0"/>
        <v>0</v>
      </c>
      <c r="J89" s="62"/>
      <c r="K89" s="56"/>
      <c r="L89" s="29"/>
      <c r="M89" s="86"/>
    </row>
    <row r="90" spans="1:13" ht="13.2" x14ac:dyDescent="0.25">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x14ac:dyDescent="0.25">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x14ac:dyDescent="0.25">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x14ac:dyDescent="0.25">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x14ac:dyDescent="0.25">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x14ac:dyDescent="0.25">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x14ac:dyDescent="0.25">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x14ac:dyDescent="0.25">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x14ac:dyDescent="0.25">
      <c r="A98" s="219"/>
      <c r="B98" s="220" t="str">
        <f>HYPERLINK("https://www.hackerrank.com/challenges/ajourney","HACKR ajourney")</f>
        <v>HACKR ajourney</v>
      </c>
      <c r="C98" s="159"/>
      <c r="D98" s="159"/>
      <c r="E98" s="159"/>
      <c r="F98" s="159"/>
      <c r="G98" s="159"/>
      <c r="H98" s="160"/>
      <c r="I98" s="57">
        <f t="shared" si="0"/>
        <v>0</v>
      </c>
      <c r="J98" s="93"/>
      <c r="K98" s="92"/>
      <c r="M98" s="63"/>
    </row>
    <row r="99" spans="1:13" ht="13.2" x14ac:dyDescent="0.25">
      <c r="A99" s="219"/>
      <c r="B99" s="220" t="str">
        <f>HYPERLINK("https://codeforces.com/contest/665/problem/E","CF665-D12-E")</f>
        <v>CF665-D12-E</v>
      </c>
      <c r="C99" s="159"/>
      <c r="D99" s="159"/>
      <c r="E99" s="159"/>
      <c r="F99" s="159"/>
      <c r="G99" s="159"/>
      <c r="H99" s="160"/>
      <c r="I99" s="57">
        <f t="shared" si="0"/>
        <v>0</v>
      </c>
      <c r="J99" s="93"/>
      <c r="K99" s="92"/>
      <c r="M99" s="63"/>
    </row>
    <row r="100" spans="1:13" ht="13.2" x14ac:dyDescent="0.25">
      <c r="A100" s="166"/>
      <c r="B100" s="265"/>
      <c r="C100" s="159"/>
      <c r="D100" s="159"/>
      <c r="E100" s="159"/>
      <c r="F100" s="159"/>
      <c r="G100" s="159"/>
      <c r="H100" s="160"/>
      <c r="I100" s="57">
        <f t="shared" si="0"/>
        <v>0</v>
      </c>
      <c r="J100" s="62"/>
      <c r="K100" s="56"/>
      <c r="M100" s="63"/>
    </row>
    <row r="101" spans="1:13" ht="13.2" x14ac:dyDescent="0.25">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x14ac:dyDescent="0.25">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x14ac:dyDescent="0.25">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x14ac:dyDescent="0.25">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x14ac:dyDescent="0.25">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x14ac:dyDescent="0.25">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x14ac:dyDescent="0.25">
      <c r="A107" s="86"/>
      <c r="B107" s="86" t="s">
        <v>1045</v>
      </c>
      <c r="C107" s="159"/>
      <c r="D107" s="159"/>
      <c r="E107" s="159"/>
      <c r="F107" s="159"/>
      <c r="G107" s="159"/>
      <c r="H107" s="160"/>
      <c r="I107" s="57">
        <f t="shared" si="0"/>
        <v>0</v>
      </c>
      <c r="J107" s="93"/>
      <c r="K107" s="92"/>
      <c r="L107" s="29"/>
      <c r="M107" s="86"/>
    </row>
    <row r="108" spans="1:13" ht="13.2" x14ac:dyDescent="0.25">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x14ac:dyDescent="0.25">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x14ac:dyDescent="0.25">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x14ac:dyDescent="0.25">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x14ac:dyDescent="0.25">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x14ac:dyDescent="0.25">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x14ac:dyDescent="0.25">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x14ac:dyDescent="0.25">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x14ac:dyDescent="0.25">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x14ac:dyDescent="0.25">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x14ac:dyDescent="0.25">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x14ac:dyDescent="0.25">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x14ac:dyDescent="0.25">
      <c r="A120" s="291"/>
      <c r="B120" s="338" t="s">
        <v>1054</v>
      </c>
      <c r="C120" s="159"/>
      <c r="D120" s="159"/>
      <c r="E120" s="159"/>
      <c r="F120" s="159"/>
      <c r="G120" s="159"/>
      <c r="H120" s="160"/>
      <c r="I120" s="57">
        <f t="shared" si="0"/>
        <v>0</v>
      </c>
      <c r="J120" s="93"/>
      <c r="K120" s="92"/>
      <c r="L120" s="29"/>
      <c r="M120" s="63"/>
    </row>
    <row r="121" spans="1:13" ht="13.2" x14ac:dyDescent="0.25">
      <c r="A121" s="291"/>
      <c r="B121" s="291" t="s">
        <v>1055</v>
      </c>
      <c r="C121" s="159"/>
      <c r="D121" s="159"/>
      <c r="E121" s="159"/>
      <c r="F121" s="159"/>
      <c r="G121" s="159"/>
      <c r="H121" s="160"/>
      <c r="I121" s="57">
        <f t="shared" si="0"/>
        <v>0</v>
      </c>
      <c r="J121" s="93"/>
      <c r="K121" s="92"/>
      <c r="L121" s="29"/>
      <c r="M121" s="63"/>
    </row>
    <row r="122" spans="1:13" ht="13.2" x14ac:dyDescent="0.25">
      <c r="A122" s="291"/>
      <c r="B122" s="219" t="s">
        <v>1056</v>
      </c>
      <c r="C122" s="159"/>
      <c r="D122" s="159"/>
      <c r="E122" s="159"/>
      <c r="F122" s="159"/>
      <c r="G122" s="159"/>
      <c r="H122" s="160"/>
      <c r="I122" s="57">
        <f t="shared" si="0"/>
        <v>0</v>
      </c>
      <c r="J122" s="93"/>
      <c r="K122" s="92"/>
      <c r="L122" s="29"/>
      <c r="M122" s="63"/>
    </row>
    <row r="123" spans="1:13" ht="13.2" x14ac:dyDescent="0.25">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x14ac:dyDescent="0.25">
      <c r="A124" s="291"/>
      <c r="B124" s="219" t="s">
        <v>1058</v>
      </c>
      <c r="C124" s="159"/>
      <c r="D124" s="159"/>
      <c r="E124" s="159"/>
      <c r="F124" s="159"/>
      <c r="G124" s="159"/>
      <c r="H124" s="160"/>
      <c r="I124" s="57">
        <f t="shared" si="0"/>
        <v>0</v>
      </c>
      <c r="J124" s="93"/>
      <c r="K124" s="92"/>
      <c r="L124" s="29"/>
      <c r="M124" s="63"/>
    </row>
    <row r="125" spans="1:13" ht="13.2" x14ac:dyDescent="0.25">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x14ac:dyDescent="0.25">
      <c r="A126" s="291"/>
      <c r="B126" s="219" t="s">
        <v>1060</v>
      </c>
      <c r="C126" s="159"/>
      <c r="D126" s="159"/>
      <c r="E126" s="159"/>
      <c r="F126" s="159"/>
      <c r="G126" s="159"/>
      <c r="H126" s="160"/>
      <c r="I126" s="57">
        <f t="shared" si="0"/>
        <v>0</v>
      </c>
      <c r="J126" s="62"/>
      <c r="K126" s="56"/>
      <c r="M126" s="63"/>
    </row>
    <row r="127" spans="1:13" ht="13.2" x14ac:dyDescent="0.25">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x14ac:dyDescent="0.25">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x14ac:dyDescent="0.25">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x14ac:dyDescent="0.25">
      <c r="A130" s="291"/>
      <c r="B130" s="292" t="str">
        <f>HYPERLINK("http://codeforces.com/contest/28/problem/C","CF28-D12-C")</f>
        <v>CF28-D12-C</v>
      </c>
      <c r="C130" s="159"/>
      <c r="D130" s="159"/>
      <c r="E130" s="159"/>
      <c r="F130" s="159"/>
      <c r="G130" s="159"/>
      <c r="H130" s="160"/>
      <c r="I130" s="57">
        <f t="shared" si="0"/>
        <v>0</v>
      </c>
      <c r="J130" s="62"/>
      <c r="K130" s="56"/>
      <c r="M130" s="63"/>
    </row>
    <row r="131" spans="1:13" ht="13.2" x14ac:dyDescent="0.25">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x14ac:dyDescent="0.25">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x14ac:dyDescent="0.25">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x14ac:dyDescent="0.25">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x14ac:dyDescent="0.25">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x14ac:dyDescent="0.25">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x14ac:dyDescent="0.25">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x14ac:dyDescent="0.25">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x14ac:dyDescent="0.25">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x14ac:dyDescent="0.25">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x14ac:dyDescent="0.25">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x14ac:dyDescent="0.25">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x14ac:dyDescent="0.25">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x14ac:dyDescent="0.25">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x14ac:dyDescent="0.25">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x14ac:dyDescent="0.25">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x14ac:dyDescent="0.25">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x14ac:dyDescent="0.25">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x14ac:dyDescent="0.25">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x14ac:dyDescent="0.25">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x14ac:dyDescent="0.25">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x14ac:dyDescent="0.25">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x14ac:dyDescent="0.25">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x14ac:dyDescent="0.25">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x14ac:dyDescent="0.25">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x14ac:dyDescent="0.25">
      <c r="A156" s="263"/>
      <c r="B156" s="282" t="s">
        <v>1083</v>
      </c>
      <c r="C156" s="159"/>
      <c r="D156" s="159"/>
      <c r="E156" s="159"/>
      <c r="F156" s="159"/>
      <c r="G156" s="159"/>
      <c r="H156" s="160"/>
      <c r="I156" s="57">
        <f t="shared" si="0"/>
        <v>0</v>
      </c>
      <c r="J156" s="93"/>
      <c r="K156" s="92"/>
      <c r="L156" s="29"/>
      <c r="M156" s="63"/>
    </row>
    <row r="157" spans="1:13" ht="13.2" x14ac:dyDescent="0.25">
      <c r="A157" s="263"/>
      <c r="B157" s="282" t="s">
        <v>1084</v>
      </c>
      <c r="C157" s="159"/>
      <c r="D157" s="159"/>
      <c r="E157" s="159"/>
      <c r="F157" s="159"/>
      <c r="G157" s="159"/>
      <c r="H157" s="160"/>
      <c r="I157" s="57">
        <f t="shared" si="0"/>
        <v>0</v>
      </c>
      <c r="J157" s="93"/>
      <c r="K157" s="92"/>
      <c r="L157" s="29"/>
      <c r="M157" s="63"/>
    </row>
    <row r="158" spans="1:13" ht="13.2" x14ac:dyDescent="0.25">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x14ac:dyDescent="0.25"/>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x14ac:dyDescent="0.25">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x14ac:dyDescent="0.25">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x14ac:dyDescent="0.25">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x14ac:dyDescent="0.25">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x14ac:dyDescent="0.25">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x14ac:dyDescent="0.25">
      <c r="A6" s="317"/>
      <c r="B6" s="317" t="s">
        <v>1088</v>
      </c>
      <c r="C6" s="159"/>
      <c r="D6" s="159"/>
      <c r="E6" s="159"/>
      <c r="F6" s="159"/>
      <c r="G6" s="159"/>
      <c r="H6" s="160"/>
      <c r="I6" s="57">
        <f t="shared" si="0"/>
        <v>0</v>
      </c>
      <c r="J6" s="26"/>
      <c r="K6" s="29"/>
      <c r="L6" s="29"/>
    </row>
    <row r="7" spans="1:13" ht="15.75" customHeight="1" x14ac:dyDescent="0.25">
      <c r="A7" s="317"/>
      <c r="B7" s="348" t="str">
        <f>HYPERLINK("http://codeforces.com/contest/467/problem/D","CF467-D2-D")</f>
        <v>CF467-D2-D</v>
      </c>
      <c r="C7" s="159"/>
      <c r="D7" s="159"/>
      <c r="E7" s="159"/>
      <c r="F7" s="159"/>
      <c r="G7" s="159"/>
      <c r="H7" s="160"/>
      <c r="I7" s="57">
        <f t="shared" si="0"/>
        <v>0</v>
      </c>
      <c r="J7" s="26"/>
      <c r="K7" s="29"/>
      <c r="L7" s="29"/>
    </row>
    <row r="8" spans="1:13" ht="15.75" customHeight="1" x14ac:dyDescent="0.25">
      <c r="A8" s="279" t="s">
        <v>1089</v>
      </c>
      <c r="B8" s="349" t="str">
        <f>HYPERLINK("http://codeforces.com/contest/676/problem/D","CF676-D2-D")</f>
        <v>CF676-D2-D</v>
      </c>
      <c r="C8" s="159"/>
      <c r="D8" s="159"/>
      <c r="E8" s="159"/>
      <c r="F8" s="159"/>
      <c r="G8" s="159"/>
      <c r="H8" s="160"/>
      <c r="I8" s="57">
        <f t="shared" si="0"/>
        <v>0</v>
      </c>
      <c r="J8" s="93"/>
      <c r="K8" s="92"/>
      <c r="L8" s="29"/>
    </row>
    <row r="9" spans="1:13" ht="15.75" customHeight="1" x14ac:dyDescent="0.25">
      <c r="A9" s="279" t="s">
        <v>1090</v>
      </c>
      <c r="B9" s="350" t="str">
        <f>HYPERLINK("http://codeforces.com/contest/418/problem/B","CF418-D1-B")</f>
        <v>CF418-D1-B</v>
      </c>
      <c r="C9" s="159"/>
      <c r="D9" s="159"/>
      <c r="E9" s="159"/>
      <c r="F9" s="159"/>
      <c r="G9" s="159"/>
      <c r="H9" s="160"/>
      <c r="I9" s="57">
        <f t="shared" si="0"/>
        <v>0</v>
      </c>
      <c r="J9" s="62"/>
      <c r="K9" s="56"/>
      <c r="L9" s="29"/>
    </row>
    <row r="10" spans="1:13" ht="15.75" customHeight="1" x14ac:dyDescent="0.25">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x14ac:dyDescent="0.25">
      <c r="A11" s="263"/>
      <c r="B11" s="279" t="s">
        <v>1092</v>
      </c>
      <c r="C11" s="159"/>
      <c r="D11" s="159"/>
      <c r="E11" s="159"/>
      <c r="F11" s="159"/>
      <c r="G11" s="159"/>
      <c r="H11" s="160"/>
      <c r="I11" s="57">
        <f t="shared" si="0"/>
        <v>0</v>
      </c>
      <c r="J11" s="62"/>
      <c r="K11" s="56"/>
      <c r="L11" s="29"/>
    </row>
    <row r="12" spans="1:13" ht="15.75" customHeight="1" x14ac:dyDescent="0.25">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x14ac:dyDescent="0.25">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x14ac:dyDescent="0.25">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x14ac:dyDescent="0.25">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x14ac:dyDescent="0.25">
      <c r="A16" s="351"/>
      <c r="B16" s="353" t="str">
        <f>HYPERLINK("http://codeforces.com/contest/1012/problem/B","CF1012-D1-B")</f>
        <v>CF1012-D1-B</v>
      </c>
      <c r="C16" s="159"/>
      <c r="D16" s="159"/>
      <c r="E16" s="159"/>
      <c r="F16" s="159"/>
      <c r="G16" s="159"/>
      <c r="H16" s="160"/>
      <c r="I16" s="57">
        <f t="shared" si="0"/>
        <v>0</v>
      </c>
      <c r="J16" s="93"/>
      <c r="K16" s="92"/>
      <c r="L16" s="29"/>
    </row>
    <row r="17" spans="1:13" ht="15.75" customHeight="1" x14ac:dyDescent="0.25">
      <c r="A17" s="351"/>
      <c r="B17" s="353" t="str">
        <f>HYPERLINK("http://codeforces.com/contest/1010/problem/C","CF1010-D1-C")</f>
        <v>CF1010-D1-C</v>
      </c>
      <c r="C17" s="159"/>
      <c r="D17" s="159"/>
      <c r="E17" s="159"/>
      <c r="F17" s="159"/>
      <c r="G17" s="159"/>
      <c r="H17" s="160"/>
      <c r="I17" s="57">
        <f t="shared" si="0"/>
        <v>0</v>
      </c>
      <c r="J17" s="93"/>
      <c r="K17" s="92"/>
      <c r="L17" s="29"/>
    </row>
    <row r="18" spans="1:13" ht="15.75" customHeight="1" x14ac:dyDescent="0.25">
      <c r="A18" s="351"/>
      <c r="B18" s="353" t="str">
        <f>HYPERLINK("http://codeforces.com/contest/633/problem/D","CF633-D12-D")</f>
        <v>CF633-D12-D</v>
      </c>
      <c r="C18" s="159"/>
      <c r="D18" s="159"/>
      <c r="E18" s="159"/>
      <c r="F18" s="159"/>
      <c r="G18" s="159"/>
      <c r="H18" s="160"/>
      <c r="I18" s="57">
        <f t="shared" si="0"/>
        <v>0</v>
      </c>
      <c r="J18" s="93"/>
      <c r="K18" s="92"/>
      <c r="L18" s="29"/>
    </row>
    <row r="19" spans="1:13" ht="15.75" customHeight="1" x14ac:dyDescent="0.25">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x14ac:dyDescent="0.25">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x14ac:dyDescent="0.25">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x14ac:dyDescent="0.25">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x14ac:dyDescent="0.25">
      <c r="A23" s="166"/>
      <c r="C23" s="159"/>
      <c r="D23" s="159"/>
      <c r="E23" s="159"/>
      <c r="F23" s="159"/>
      <c r="G23" s="159"/>
      <c r="H23" s="160"/>
      <c r="I23" s="57">
        <f t="shared" si="0"/>
        <v>0</v>
      </c>
      <c r="J23" s="62"/>
      <c r="K23" s="56"/>
      <c r="L23" s="29"/>
    </row>
    <row r="24" spans="1:13" ht="13.2" x14ac:dyDescent="0.25">
      <c r="A24" s="166" t="s">
        <v>1094</v>
      </c>
      <c r="B24" s="354" t="str">
        <f>HYPERLINK("http://codeforces.com/contest/681/problem/D","CF681-D2-D")</f>
        <v>CF681-D2-D</v>
      </c>
      <c r="C24" s="159"/>
      <c r="D24" s="159"/>
      <c r="E24" s="159"/>
      <c r="F24" s="159"/>
      <c r="G24" s="159"/>
      <c r="H24" s="160"/>
      <c r="I24" s="57">
        <f t="shared" si="0"/>
        <v>0</v>
      </c>
      <c r="J24" s="62"/>
      <c r="K24" s="56"/>
      <c r="L24" s="29"/>
    </row>
    <row r="25" spans="1:13" ht="13.2" x14ac:dyDescent="0.25">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x14ac:dyDescent="0.25">
      <c r="A26" s="166" t="s">
        <v>1097</v>
      </c>
      <c r="B26" s="354" t="str">
        <f>HYPERLINK("http://codeforces.com/contest/548/problem/D","CF548-D2-D")</f>
        <v>CF548-D2-D</v>
      </c>
      <c r="C26" s="159"/>
      <c r="D26" s="159"/>
      <c r="E26" s="159"/>
      <c r="F26" s="159"/>
      <c r="G26" s="159"/>
      <c r="H26" s="160"/>
      <c r="I26" s="57">
        <f t="shared" si="0"/>
        <v>0</v>
      </c>
      <c r="J26" s="62"/>
      <c r="K26" s="56"/>
    </row>
    <row r="27" spans="1:13" ht="13.2" x14ac:dyDescent="0.25">
      <c r="A27" s="166" t="s">
        <v>1098</v>
      </c>
      <c r="B27" s="354" t="str">
        <f>HYPERLINK("http://codeforces.com/contest/435/problem/D","CF435-D2-D")</f>
        <v>CF435-D2-D</v>
      </c>
      <c r="C27" s="159"/>
      <c r="D27" s="159"/>
      <c r="E27" s="159"/>
      <c r="F27" s="159"/>
      <c r="G27" s="159"/>
      <c r="H27" s="160"/>
      <c r="I27" s="57">
        <f t="shared" si="0"/>
        <v>0</v>
      </c>
      <c r="J27" s="62"/>
      <c r="K27" s="56"/>
    </row>
    <row r="28" spans="1:13" ht="13.2" x14ac:dyDescent="0.25">
      <c r="A28" s="166" t="s">
        <v>1099</v>
      </c>
      <c r="B28" s="354" t="str">
        <f>HYPERLINK("http://codeforces.com/contest/401/problem/D","CF401-D2-D")</f>
        <v>CF401-D2-D</v>
      </c>
      <c r="C28" s="159"/>
      <c r="D28" s="159"/>
      <c r="E28" s="159"/>
      <c r="F28" s="159"/>
      <c r="G28" s="159"/>
      <c r="H28" s="160"/>
      <c r="I28" s="57">
        <f t="shared" si="0"/>
        <v>0</v>
      </c>
      <c r="J28" s="62"/>
      <c r="K28" s="56"/>
    </row>
    <row r="29" spans="1:13" ht="13.2" x14ac:dyDescent="0.25">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x14ac:dyDescent="0.25">
      <c r="A30" s="86" t="s">
        <v>1101</v>
      </c>
      <c r="B30" s="87" t="str">
        <f>HYPERLINK("http://codeforces.com/contest/550/problem/D","CF550-D2-D")</f>
        <v>CF550-D2-D</v>
      </c>
      <c r="C30" s="159"/>
      <c r="D30" s="159"/>
      <c r="E30" s="159"/>
      <c r="F30" s="159"/>
      <c r="G30" s="159"/>
      <c r="H30" s="160"/>
      <c r="I30" s="57">
        <f t="shared" si="0"/>
        <v>0</v>
      </c>
      <c r="J30" s="93"/>
      <c r="K30" s="92"/>
      <c r="M30" s="29"/>
    </row>
    <row r="31" spans="1:13" ht="13.2" x14ac:dyDescent="0.25">
      <c r="A31" s="86"/>
      <c r="B31" s="87" t="str">
        <f>HYPERLINK("https://codeforces.com/contest/1059/problem/D","CF1059-D2-D")</f>
        <v>CF1059-D2-D</v>
      </c>
      <c r="C31" s="159"/>
      <c r="D31" s="159"/>
      <c r="E31" s="159"/>
      <c r="F31" s="159"/>
      <c r="G31" s="159"/>
      <c r="H31" s="160"/>
      <c r="I31" s="57">
        <f t="shared" si="0"/>
        <v>0</v>
      </c>
      <c r="J31" s="93"/>
      <c r="K31" s="92"/>
      <c r="M31" s="29"/>
    </row>
    <row r="32" spans="1:13" ht="13.2" x14ac:dyDescent="0.25">
      <c r="A32" s="214" t="s">
        <v>1102</v>
      </c>
      <c r="B32" s="286" t="str">
        <f>HYPERLINK("http://codeforces.com/contest/255/problem/C","CF255-D2-C")</f>
        <v>CF255-D2-C</v>
      </c>
      <c r="C32" s="159"/>
      <c r="D32" s="159"/>
      <c r="E32" s="159"/>
      <c r="F32" s="159"/>
      <c r="G32" s="159"/>
      <c r="H32" s="160"/>
      <c r="I32" s="57">
        <f t="shared" si="0"/>
        <v>0</v>
      </c>
      <c r="J32" s="93"/>
      <c r="K32" s="92"/>
      <c r="M32" s="29"/>
    </row>
    <row r="33" spans="1:13" ht="13.2" x14ac:dyDescent="0.25">
      <c r="A33" s="214" t="s">
        <v>1103</v>
      </c>
      <c r="B33" s="286" t="str">
        <f>HYPERLINK("http://codeforces.com/contest/59/problem/C","CF59-D2-C")</f>
        <v>CF59-D2-C</v>
      </c>
      <c r="C33" s="159"/>
      <c r="D33" s="159"/>
      <c r="E33" s="159"/>
      <c r="F33" s="159"/>
      <c r="G33" s="159"/>
      <c r="H33" s="160"/>
      <c r="I33" s="57">
        <f t="shared" si="0"/>
        <v>0</v>
      </c>
      <c r="J33" s="93"/>
      <c r="K33" s="92"/>
      <c r="M33" s="29"/>
    </row>
    <row r="34" spans="1:13" ht="13.2" x14ac:dyDescent="0.25">
      <c r="A34" s="214" t="s">
        <v>1104</v>
      </c>
      <c r="B34" s="286" t="str">
        <f>HYPERLINK("http://codeforces.com/contest/495/problem/C","CF495-D2-C")</f>
        <v>CF495-D2-C</v>
      </c>
      <c r="C34" s="159"/>
      <c r="D34" s="159"/>
      <c r="E34" s="159"/>
      <c r="F34" s="159"/>
      <c r="G34" s="159"/>
      <c r="H34" s="160"/>
      <c r="I34" s="57">
        <f t="shared" si="0"/>
        <v>0</v>
      </c>
      <c r="J34" s="93"/>
      <c r="K34" s="92"/>
      <c r="M34" s="29"/>
    </row>
    <row r="35" spans="1:13" ht="13.2" x14ac:dyDescent="0.25">
      <c r="A35" s="166"/>
      <c r="C35" s="159"/>
      <c r="D35" s="159"/>
      <c r="E35" s="159"/>
      <c r="F35" s="159"/>
      <c r="G35" s="159"/>
      <c r="H35" s="160"/>
      <c r="I35" s="57">
        <f t="shared" si="0"/>
        <v>0</v>
      </c>
      <c r="J35" s="62"/>
      <c r="K35" s="56"/>
      <c r="M35" s="29"/>
    </row>
    <row r="36" spans="1:13" ht="13.2" x14ac:dyDescent="0.25">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x14ac:dyDescent="0.25">
      <c r="A37" s="318" t="s">
        <v>1106</v>
      </c>
      <c r="B37" s="356" t="str">
        <f>HYPERLINK("http://www.spoj.com/problems/DCEPC12E","SPOJ DCEPC12E")</f>
        <v>SPOJ DCEPC12E</v>
      </c>
      <c r="C37" s="159"/>
      <c r="D37" s="159"/>
      <c r="E37" s="159"/>
      <c r="F37" s="159"/>
      <c r="G37" s="159"/>
      <c r="H37" s="160"/>
      <c r="I37" s="57">
        <f t="shared" si="0"/>
        <v>0</v>
      </c>
      <c r="J37" s="62"/>
      <c r="K37" s="56"/>
      <c r="M37" s="29"/>
    </row>
    <row r="38" spans="1:13" ht="13.2" x14ac:dyDescent="0.25">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x14ac:dyDescent="0.25">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x14ac:dyDescent="0.25">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x14ac:dyDescent="0.25">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x14ac:dyDescent="0.25">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x14ac:dyDescent="0.25">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x14ac:dyDescent="0.25">
      <c r="A44" s="318"/>
      <c r="B44" s="318" t="s">
        <v>1113</v>
      </c>
      <c r="C44" s="159"/>
      <c r="D44" s="159"/>
      <c r="E44" s="159"/>
      <c r="F44" s="159"/>
      <c r="G44" s="159"/>
      <c r="H44" s="160"/>
      <c r="I44" s="57">
        <f t="shared" si="0"/>
        <v>0</v>
      </c>
      <c r="J44" s="93"/>
      <c r="K44" s="92"/>
    </row>
    <row r="45" spans="1:13" ht="13.2" x14ac:dyDescent="0.25">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x14ac:dyDescent="0.25">
      <c r="A46" s="318"/>
      <c r="B46" s="318" t="s">
        <v>1115</v>
      </c>
      <c r="C46" s="159"/>
      <c r="D46" s="159"/>
      <c r="E46" s="159"/>
      <c r="F46" s="159"/>
      <c r="G46" s="159"/>
      <c r="H46" s="160"/>
      <c r="I46" s="57">
        <f t="shared" si="0"/>
        <v>0</v>
      </c>
      <c r="J46" s="26"/>
      <c r="K46" s="29"/>
    </row>
    <row r="47" spans="1:13" ht="13.2" x14ac:dyDescent="0.25">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x14ac:dyDescent="0.25">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x14ac:dyDescent="0.25">
      <c r="A49" s="318"/>
      <c r="B49" s="318" t="s">
        <v>1118</v>
      </c>
      <c r="C49" s="159"/>
      <c r="D49" s="159"/>
      <c r="E49" s="159"/>
      <c r="F49" s="159"/>
      <c r="G49" s="159"/>
      <c r="H49" s="160"/>
      <c r="I49" s="57">
        <f t="shared" si="0"/>
        <v>0</v>
      </c>
      <c r="J49" s="26"/>
      <c r="K49" s="29"/>
    </row>
    <row r="50" spans="1:13" ht="13.2" x14ac:dyDescent="0.25">
      <c r="A50" s="318"/>
      <c r="B50" s="318" t="s">
        <v>1119</v>
      </c>
      <c r="C50" s="159"/>
      <c r="D50" s="159"/>
      <c r="E50" s="159"/>
      <c r="F50" s="159"/>
      <c r="G50" s="159"/>
      <c r="H50" s="160"/>
      <c r="I50" s="57">
        <f t="shared" si="0"/>
        <v>0</v>
      </c>
      <c r="J50" s="26"/>
      <c r="K50" s="29"/>
    </row>
    <row r="51" spans="1:13" ht="13.2" x14ac:dyDescent="0.25">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x14ac:dyDescent="0.25">
      <c r="A52" s="318"/>
      <c r="B52" s="319" t="str">
        <f>HYPERLINK("http://codeforces.com/contest/811/problem/D","CF811-D2-D")</f>
        <v>CF811-D2-D</v>
      </c>
      <c r="C52" s="159"/>
      <c r="D52" s="159"/>
      <c r="E52" s="159"/>
      <c r="F52" s="159"/>
      <c r="G52" s="159"/>
      <c r="H52" s="160"/>
      <c r="I52" s="57">
        <f t="shared" si="0"/>
        <v>0</v>
      </c>
      <c r="J52" s="26"/>
      <c r="K52" s="29"/>
    </row>
    <row r="53" spans="1:13" ht="13.2" x14ac:dyDescent="0.25">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x14ac:dyDescent="0.25">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x14ac:dyDescent="0.25">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x14ac:dyDescent="0.25">
      <c r="A56" s="166"/>
      <c r="B56" s="176"/>
      <c r="C56" s="159"/>
      <c r="D56" s="159"/>
      <c r="E56" s="159"/>
      <c r="F56" s="159"/>
      <c r="G56" s="159"/>
      <c r="H56" s="160"/>
      <c r="I56" s="57">
        <f t="shared" si="0"/>
        <v>0</v>
      </c>
      <c r="J56" s="62"/>
      <c r="K56" s="56"/>
      <c r="M56" s="29"/>
    </row>
    <row r="57" spans="1:13" ht="13.2" x14ac:dyDescent="0.25">
      <c r="A57" s="166" t="s">
        <v>1123</v>
      </c>
      <c r="B57" s="354" t="str">
        <f>HYPERLINK("http://codeforces.com/contest/478/problem/D","CF478-D2-D")</f>
        <v>CF478-D2-D</v>
      </c>
      <c r="C57" s="159"/>
      <c r="D57" s="159"/>
      <c r="E57" s="159"/>
      <c r="F57" s="159"/>
      <c r="G57" s="159"/>
      <c r="H57" s="160"/>
      <c r="I57" s="57">
        <f t="shared" si="0"/>
        <v>0</v>
      </c>
      <c r="J57" s="62"/>
      <c r="K57" s="56"/>
      <c r="M57" s="29"/>
    </row>
    <row r="58" spans="1:13" ht="13.2" x14ac:dyDescent="0.25">
      <c r="A58" s="166" t="s">
        <v>1124</v>
      </c>
      <c r="B58" s="354" t="str">
        <f>HYPERLINK("http://codeforces.com/contest/363/problem/D","CF363-D2-D")</f>
        <v>CF363-D2-D</v>
      </c>
      <c r="C58" s="159"/>
      <c r="D58" s="159"/>
      <c r="E58" s="159"/>
      <c r="F58" s="159"/>
      <c r="G58" s="159"/>
      <c r="H58" s="160"/>
      <c r="I58" s="57">
        <f t="shared" si="0"/>
        <v>0</v>
      </c>
      <c r="J58" s="62"/>
      <c r="K58" s="56"/>
      <c r="M58" s="29"/>
    </row>
    <row r="59" spans="1:13" ht="13.2" x14ac:dyDescent="0.25">
      <c r="A59" s="86" t="s">
        <v>1125</v>
      </c>
      <c r="B59" s="87" t="str">
        <f>HYPERLINK("http://codeforces.com/contest/146/problem/D","CF146-D2-D")</f>
        <v>CF146-D2-D</v>
      </c>
      <c r="C59" s="159"/>
      <c r="D59" s="159"/>
      <c r="E59" s="159"/>
      <c r="F59" s="159"/>
      <c r="G59" s="159"/>
      <c r="H59" s="160"/>
      <c r="I59" s="57">
        <f t="shared" si="0"/>
        <v>0</v>
      </c>
      <c r="J59" s="93"/>
      <c r="K59" s="92"/>
      <c r="M59" s="29"/>
    </row>
    <row r="60" spans="1:13" ht="13.2" x14ac:dyDescent="0.25">
      <c r="A60" s="86" t="s">
        <v>1126</v>
      </c>
      <c r="B60" s="87" t="str">
        <f>HYPERLINK("http://codeforces.com/contest/496/problem/D","CF496-D2-D")</f>
        <v>CF496-D2-D</v>
      </c>
      <c r="C60" s="159"/>
      <c r="D60" s="159"/>
      <c r="E60" s="159"/>
      <c r="F60" s="159"/>
      <c r="G60" s="159"/>
      <c r="H60" s="160"/>
      <c r="I60" s="57">
        <f t="shared" si="0"/>
        <v>0</v>
      </c>
      <c r="J60" s="93"/>
      <c r="K60" s="92"/>
      <c r="M60" s="29"/>
    </row>
    <row r="61" spans="1:13" ht="13.2" x14ac:dyDescent="0.25">
      <c r="A61" s="86" t="s">
        <v>1127</v>
      </c>
      <c r="B61" s="87" t="str">
        <f>HYPERLINK("http://codeforces.com/contest/340/problem/D","CF340-D2-D")</f>
        <v>CF340-D2-D</v>
      </c>
      <c r="C61" s="159"/>
      <c r="D61" s="159"/>
      <c r="E61" s="159"/>
      <c r="F61" s="159"/>
      <c r="G61" s="159"/>
      <c r="H61" s="160"/>
      <c r="I61" s="57">
        <f t="shared" si="0"/>
        <v>0</v>
      </c>
      <c r="J61" s="93"/>
      <c r="K61" s="92"/>
      <c r="M61" s="29"/>
    </row>
    <row r="62" spans="1:13" ht="13.2" x14ac:dyDescent="0.25">
      <c r="A62" s="166" t="s">
        <v>1128</v>
      </c>
      <c r="B62" s="354" t="str">
        <f>HYPERLINK("http://codeforces.com/contest/402/problem/D","CF402-D2-D")</f>
        <v>CF402-D2-D</v>
      </c>
      <c r="C62" s="159"/>
      <c r="D62" s="159"/>
      <c r="E62" s="159"/>
      <c r="F62" s="159"/>
      <c r="G62" s="159"/>
      <c r="H62" s="160"/>
      <c r="I62" s="57">
        <f t="shared" si="0"/>
        <v>0</v>
      </c>
      <c r="J62" s="62"/>
      <c r="K62" s="56"/>
      <c r="M62" s="29"/>
    </row>
    <row r="63" spans="1:13" ht="13.2" x14ac:dyDescent="0.25">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x14ac:dyDescent="0.25">
      <c r="A64" s="166"/>
      <c r="B64" s="354" t="str">
        <f>HYPERLINK("http://codeforces.com/problemset/problem/1017/D","CF1017-D12-D")</f>
        <v>CF1017-D12-D</v>
      </c>
      <c r="C64" s="159"/>
      <c r="D64" s="159"/>
      <c r="E64" s="159"/>
      <c r="F64" s="159"/>
      <c r="G64" s="159"/>
      <c r="H64" s="160"/>
      <c r="I64" s="57">
        <f t="shared" si="0"/>
        <v>0</v>
      </c>
      <c r="J64" s="62"/>
      <c r="K64" s="56"/>
      <c r="M64" s="29"/>
    </row>
    <row r="65" spans="1:13" ht="13.2" x14ac:dyDescent="0.25">
      <c r="A65" s="214" t="s">
        <v>1130</v>
      </c>
      <c r="B65" s="286" t="str">
        <f>HYPERLINK("http://codeforces.com/contest/69/problem/C","CF69-D2-C")</f>
        <v>CF69-D2-C</v>
      </c>
      <c r="C65" s="159"/>
      <c r="D65" s="159"/>
      <c r="E65" s="159"/>
      <c r="F65" s="159"/>
      <c r="G65" s="159"/>
      <c r="H65" s="160"/>
      <c r="I65" s="57">
        <f t="shared" si="0"/>
        <v>0</v>
      </c>
      <c r="J65" s="62"/>
      <c r="K65" s="56"/>
      <c r="M65" s="29"/>
    </row>
    <row r="66" spans="1:13" ht="13.2" x14ac:dyDescent="0.25">
      <c r="A66" s="214" t="s">
        <v>1131</v>
      </c>
      <c r="B66" s="286" t="str">
        <f>HYPERLINK("http://codeforces.com/contest/322/problem/C","CF322-D2-C")</f>
        <v>CF322-D2-C</v>
      </c>
      <c r="C66" s="159"/>
      <c r="D66" s="159"/>
      <c r="E66" s="159"/>
      <c r="F66" s="159"/>
      <c r="G66" s="159"/>
      <c r="H66" s="160"/>
      <c r="I66" s="57">
        <f t="shared" si="0"/>
        <v>0</v>
      </c>
      <c r="J66" s="62"/>
      <c r="K66" s="56"/>
      <c r="M66" s="29"/>
    </row>
    <row r="67" spans="1:13" ht="13.2" x14ac:dyDescent="0.25">
      <c r="A67" s="214" t="s">
        <v>1132</v>
      </c>
      <c r="B67" s="286" t="str">
        <f>HYPERLINK("http://codeforces.com/contest/716/problem/C","CF716-D2-C")</f>
        <v>CF716-D2-C</v>
      </c>
      <c r="C67" s="159"/>
      <c r="D67" s="159"/>
      <c r="E67" s="159"/>
      <c r="F67" s="159"/>
      <c r="G67" s="159"/>
      <c r="H67" s="160"/>
      <c r="I67" s="57">
        <f t="shared" si="0"/>
        <v>0</v>
      </c>
      <c r="J67" s="62"/>
      <c r="K67" s="56"/>
      <c r="M67" s="29"/>
    </row>
    <row r="68" spans="1:13" ht="13.2" x14ac:dyDescent="0.25">
      <c r="A68" s="166"/>
      <c r="B68" s="176"/>
      <c r="C68" s="159"/>
      <c r="D68" s="159"/>
      <c r="E68" s="159"/>
      <c r="F68" s="159"/>
      <c r="G68" s="159"/>
      <c r="H68" s="160"/>
      <c r="I68" s="57">
        <f t="shared" si="0"/>
        <v>0</v>
      </c>
      <c r="J68" s="62"/>
      <c r="K68" s="56"/>
      <c r="M68" s="29"/>
    </row>
    <row r="69" spans="1:13" ht="13.2" x14ac:dyDescent="0.25">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x14ac:dyDescent="0.25">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x14ac:dyDescent="0.25">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x14ac:dyDescent="0.25">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x14ac:dyDescent="0.25">
      <c r="A73" s="279"/>
      <c r="B73" s="359" t="s">
        <v>1137</v>
      </c>
      <c r="C73" s="159"/>
      <c r="D73" s="159"/>
      <c r="E73" s="159"/>
      <c r="F73" s="159"/>
      <c r="G73" s="159"/>
      <c r="H73" s="160"/>
      <c r="I73" s="57">
        <f t="shared" si="0"/>
        <v>0</v>
      </c>
      <c r="J73" s="62"/>
      <c r="K73" s="56"/>
    </row>
    <row r="74" spans="1:13" ht="13.2" x14ac:dyDescent="0.25">
      <c r="A74" s="279"/>
      <c r="B74" s="359" t="s">
        <v>1138</v>
      </c>
      <c r="C74" s="159"/>
      <c r="D74" s="159"/>
      <c r="E74" s="159"/>
      <c r="F74" s="159"/>
      <c r="G74" s="159"/>
      <c r="H74" s="160"/>
      <c r="I74" s="57">
        <f t="shared" si="0"/>
        <v>0</v>
      </c>
      <c r="J74" s="62"/>
      <c r="K74" s="56"/>
    </row>
    <row r="75" spans="1:13" ht="13.2" x14ac:dyDescent="0.25">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x14ac:dyDescent="0.25">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x14ac:dyDescent="0.25">
      <c r="A77" s="282" t="s">
        <v>1141</v>
      </c>
      <c r="B77" s="362" t="str">
        <f>HYPERLINK("http://codeforces.com/contest/292/problem/D","CF292-D12-D")</f>
        <v>CF292-D12-D</v>
      </c>
      <c r="C77" s="159"/>
      <c r="D77" s="159"/>
      <c r="E77" s="159"/>
      <c r="F77" s="159"/>
      <c r="G77" s="159"/>
      <c r="H77" s="160"/>
      <c r="I77" s="57">
        <f t="shared" si="0"/>
        <v>0</v>
      </c>
      <c r="J77" s="62"/>
      <c r="K77" s="56"/>
    </row>
    <row r="78" spans="1:13" ht="13.2" x14ac:dyDescent="0.25">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x14ac:dyDescent="0.25">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x14ac:dyDescent="0.25">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x14ac:dyDescent="0.25">
      <c r="A81" s="282"/>
      <c r="B81" s="283" t="str">
        <f>HYPERLINK("http://codeforces.com/contest/403/problem/C","CF403-D1-C")</f>
        <v>CF403-D1-C</v>
      </c>
      <c r="C81" s="159"/>
      <c r="D81" s="159"/>
      <c r="E81" s="159"/>
      <c r="F81" s="159"/>
      <c r="G81" s="159"/>
      <c r="H81" s="160"/>
      <c r="I81" s="57">
        <f t="shared" si="0"/>
        <v>0</v>
      </c>
      <c r="J81" s="62"/>
      <c r="K81" s="56"/>
    </row>
    <row r="82" spans="1:13" ht="13.2" x14ac:dyDescent="0.25">
      <c r="A82" s="282"/>
      <c r="B82" s="283" t="str">
        <f>HYPERLINK("http://codeforces.com/contest/787/problem/C","CF787-D2-C")</f>
        <v>CF787-D2-C</v>
      </c>
      <c r="C82" s="159"/>
      <c r="D82" s="159"/>
      <c r="E82" s="159"/>
      <c r="F82" s="159"/>
      <c r="G82" s="159"/>
      <c r="H82" s="160"/>
      <c r="I82" s="57">
        <f t="shared" si="0"/>
        <v>0</v>
      </c>
      <c r="J82" s="62"/>
      <c r="K82" s="56"/>
    </row>
    <row r="83" spans="1:13" ht="13.2" x14ac:dyDescent="0.25">
      <c r="A83" s="282"/>
      <c r="B83" s="283" t="str">
        <f>HYPERLINK("http://codeforces.com/contest/309/problem/B","CF309-D12-B")</f>
        <v>CF309-D12-B</v>
      </c>
      <c r="C83" s="159"/>
      <c r="D83" s="159"/>
      <c r="E83" s="159"/>
      <c r="F83" s="159"/>
      <c r="G83" s="159"/>
      <c r="H83" s="160"/>
      <c r="I83" s="57">
        <f t="shared" si="0"/>
        <v>0</v>
      </c>
      <c r="J83" s="62"/>
      <c r="K83" s="56"/>
    </row>
    <row r="84" spans="1:13" ht="13.2" x14ac:dyDescent="0.25">
      <c r="A84" s="282"/>
      <c r="B84" s="282" t="s">
        <v>1145</v>
      </c>
      <c r="C84" s="159"/>
      <c r="D84" s="159"/>
      <c r="E84" s="159"/>
      <c r="F84" s="159"/>
      <c r="G84" s="159"/>
      <c r="H84" s="160"/>
      <c r="I84" s="57">
        <f t="shared" si="0"/>
        <v>0</v>
      </c>
      <c r="J84" s="62"/>
      <c r="K84" s="56"/>
    </row>
    <row r="85" spans="1:13" ht="13.2" x14ac:dyDescent="0.25">
      <c r="A85" s="282"/>
      <c r="B85" s="282" t="s">
        <v>1146</v>
      </c>
      <c r="C85" s="159"/>
      <c r="D85" s="159"/>
      <c r="E85" s="159"/>
      <c r="F85" s="159"/>
      <c r="G85" s="159"/>
      <c r="H85" s="160"/>
      <c r="I85" s="57">
        <f t="shared" si="0"/>
        <v>0</v>
      </c>
      <c r="J85" s="62"/>
      <c r="K85" s="56"/>
    </row>
    <row r="86" spans="1:13" ht="13.2" x14ac:dyDescent="0.25">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x14ac:dyDescent="0.25">
      <c r="A87" s="282"/>
      <c r="B87" s="283" t="str">
        <f>HYPERLINK("http://codeforces.com/contest/1012/problem/C","CF1012-D1-C")</f>
        <v>CF1012-D1-C</v>
      </c>
      <c r="C87" s="159"/>
      <c r="D87" s="159"/>
      <c r="E87" s="159"/>
      <c r="F87" s="159"/>
      <c r="G87" s="159"/>
      <c r="H87" s="160"/>
      <c r="I87" s="57">
        <f t="shared" si="0"/>
        <v>0</v>
      </c>
      <c r="J87" s="62"/>
      <c r="K87" s="56"/>
    </row>
    <row r="88" spans="1:13" ht="13.2" x14ac:dyDescent="0.25">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x14ac:dyDescent="0.25">
      <c r="A89" s="282"/>
      <c r="B89" s="283" t="str">
        <f>HYPERLINK("https://www.facebook.com/hackercup/problem/1153996538071503/", "FbHkrCup 18-RQ-C")</f>
        <v>FbHkrCup 18-RQ-C</v>
      </c>
      <c r="C89" s="159"/>
      <c r="D89" s="159"/>
      <c r="E89" s="159"/>
      <c r="F89" s="159"/>
      <c r="G89" s="159"/>
      <c r="H89" s="160"/>
      <c r="I89" s="57">
        <f t="shared" si="0"/>
        <v>0</v>
      </c>
      <c r="J89" s="62"/>
      <c r="K89" s="56"/>
    </row>
    <row r="90" spans="1:13" ht="13.2" x14ac:dyDescent="0.25">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x14ac:dyDescent="0.25">
      <c r="A91" s="166"/>
      <c r="B91" s="176"/>
      <c r="C91" s="159"/>
      <c r="D91" s="159"/>
      <c r="E91" s="159"/>
      <c r="F91" s="159"/>
      <c r="G91" s="159"/>
      <c r="H91" s="160"/>
      <c r="I91" s="57">
        <f t="shared" si="0"/>
        <v>0</v>
      </c>
      <c r="J91" s="62"/>
      <c r="K91" s="56"/>
      <c r="M91" s="29"/>
    </row>
    <row r="92" spans="1:13" ht="13.2" x14ac:dyDescent="0.25">
      <c r="A92" s="86" t="s">
        <v>1150</v>
      </c>
      <c r="B92" s="87" t="str">
        <f>HYPERLINK("http://codeforces.com/contest/651/problem/D","CF651-D2-D")</f>
        <v>CF651-D2-D</v>
      </c>
      <c r="C92" s="159"/>
      <c r="D92" s="159"/>
      <c r="E92" s="159"/>
      <c r="F92" s="159"/>
      <c r="G92" s="159"/>
      <c r="H92" s="160"/>
      <c r="I92" s="57">
        <f t="shared" si="0"/>
        <v>0</v>
      </c>
      <c r="J92" s="26"/>
      <c r="K92" s="29"/>
      <c r="M92" s="29"/>
    </row>
    <row r="93" spans="1:13" ht="13.2" x14ac:dyDescent="0.25">
      <c r="A93" s="86" t="s">
        <v>1151</v>
      </c>
      <c r="B93" s="87" t="str">
        <f>HYPERLINK("http://codeforces.com/contest/281/problem/D","CF281-D2-D")</f>
        <v>CF281-D2-D</v>
      </c>
      <c r="C93" s="159"/>
      <c r="D93" s="159"/>
      <c r="E93" s="159"/>
      <c r="F93" s="159"/>
      <c r="G93" s="159"/>
      <c r="H93" s="160"/>
      <c r="I93" s="57">
        <f t="shared" si="0"/>
        <v>0</v>
      </c>
      <c r="J93" s="26"/>
      <c r="K93" s="29"/>
      <c r="M93" s="29"/>
    </row>
    <row r="94" spans="1:13" ht="13.2" x14ac:dyDescent="0.25">
      <c r="A94" s="86" t="s">
        <v>1152</v>
      </c>
      <c r="B94" s="87" t="str">
        <f>HYPERLINK("http://codeforces.com/contest/313/problem/D","CF313-D2-D")</f>
        <v>CF313-D2-D</v>
      </c>
      <c r="C94" s="159"/>
      <c r="D94" s="159"/>
      <c r="E94" s="159"/>
      <c r="F94" s="159"/>
      <c r="G94" s="159"/>
      <c r="H94" s="160"/>
      <c r="I94" s="57">
        <f t="shared" si="0"/>
        <v>0</v>
      </c>
      <c r="J94" s="26"/>
      <c r="K94" s="29"/>
      <c r="M94" s="29"/>
    </row>
    <row r="95" spans="1:13" ht="13.2" x14ac:dyDescent="0.25">
      <c r="A95" s="86" t="s">
        <v>1153</v>
      </c>
      <c r="B95" s="87" t="str">
        <f>HYPERLINK("http://codeforces.com/contest/255/problem/D","CF255-D2-D")</f>
        <v>CF255-D2-D</v>
      </c>
      <c r="C95" s="159"/>
      <c r="D95" s="159"/>
      <c r="E95" s="159"/>
      <c r="F95" s="159"/>
      <c r="G95" s="159"/>
      <c r="H95" s="160"/>
      <c r="I95" s="57">
        <f t="shared" si="0"/>
        <v>0</v>
      </c>
      <c r="J95" s="93"/>
      <c r="K95" s="92"/>
      <c r="M95" s="29"/>
    </row>
    <row r="96" spans="1:13" ht="13.2" x14ac:dyDescent="0.25">
      <c r="A96" s="166" t="s">
        <v>1154</v>
      </c>
      <c r="B96" s="354" t="str">
        <f>HYPERLINK("http://codeforces.com/contest/298/problem/D","CF298-D2-D")</f>
        <v>CF298-D2-D</v>
      </c>
      <c r="C96" s="159"/>
      <c r="D96" s="159"/>
      <c r="E96" s="159"/>
      <c r="F96" s="159"/>
      <c r="G96" s="159"/>
      <c r="H96" s="160"/>
      <c r="I96" s="57">
        <f t="shared" si="0"/>
        <v>0</v>
      </c>
      <c r="J96" s="62"/>
      <c r="K96" s="56"/>
      <c r="M96" s="29"/>
    </row>
    <row r="97" spans="1:13" ht="13.2" x14ac:dyDescent="0.25">
      <c r="A97" s="166" t="s">
        <v>1155</v>
      </c>
      <c r="B97" s="354" t="str">
        <f>HYPERLINK("http://codeforces.com/contest/237/problem/D","CF237-D2-D")</f>
        <v>CF237-D2-D</v>
      </c>
      <c r="C97" s="159"/>
      <c r="D97" s="159"/>
      <c r="E97" s="159"/>
      <c r="F97" s="159"/>
      <c r="G97" s="159"/>
      <c r="H97" s="160"/>
      <c r="I97" s="57">
        <f t="shared" si="0"/>
        <v>0</v>
      </c>
      <c r="J97" s="62"/>
      <c r="K97" s="56"/>
      <c r="M97" s="29"/>
    </row>
    <row r="98" spans="1:13" ht="13.2" x14ac:dyDescent="0.25">
      <c r="A98" s="166" t="s">
        <v>1156</v>
      </c>
      <c r="B98" s="354" t="str">
        <f>HYPERLINK("http://codeforces.com/contest/168/problem/D","CF168-D2-D")</f>
        <v>CF168-D2-D</v>
      </c>
      <c r="C98" s="159"/>
      <c r="D98" s="159"/>
      <c r="E98" s="159"/>
      <c r="F98" s="159"/>
      <c r="G98" s="159"/>
      <c r="H98" s="160"/>
      <c r="I98" s="57">
        <f t="shared" si="0"/>
        <v>0</v>
      </c>
      <c r="J98" s="62"/>
      <c r="K98" s="56"/>
      <c r="M98" s="29"/>
    </row>
    <row r="99" spans="1:13" ht="13.2" x14ac:dyDescent="0.25">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x14ac:dyDescent="0.25">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x14ac:dyDescent="0.25">
      <c r="A101" s="166"/>
      <c r="C101" s="159"/>
      <c r="D101" s="159"/>
      <c r="E101" s="159"/>
      <c r="F101" s="159"/>
      <c r="G101" s="159"/>
      <c r="H101" s="160"/>
      <c r="I101" s="57">
        <f t="shared" si="0"/>
        <v>0</v>
      </c>
      <c r="J101" s="62"/>
      <c r="K101" s="56"/>
      <c r="M101" s="29"/>
    </row>
    <row r="102" spans="1:13" ht="13.2" x14ac:dyDescent="0.25">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x14ac:dyDescent="0.25">
      <c r="A103" s="291" t="s">
        <v>1024</v>
      </c>
      <c r="B103" s="292" t="str">
        <f>HYPERLINK("http://codeforces.com/contest/431/problem/D","CF431-D2-D")</f>
        <v>CF431-D2-D</v>
      </c>
      <c r="C103" s="159"/>
      <c r="D103" s="159"/>
      <c r="E103" s="159"/>
      <c r="F103" s="159"/>
      <c r="G103" s="159"/>
      <c r="H103" s="160"/>
      <c r="I103" s="57">
        <f t="shared" si="0"/>
        <v>0</v>
      </c>
      <c r="J103" s="26"/>
      <c r="K103" s="29"/>
    </row>
    <row r="104" spans="1:13" ht="13.2" x14ac:dyDescent="0.25">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x14ac:dyDescent="0.25">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x14ac:dyDescent="0.25">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x14ac:dyDescent="0.25">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x14ac:dyDescent="0.25">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x14ac:dyDescent="0.25">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x14ac:dyDescent="0.25">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x14ac:dyDescent="0.25">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x14ac:dyDescent="0.25">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x14ac:dyDescent="0.25">
      <c r="A113" s="368" t="s">
        <v>1168</v>
      </c>
      <c r="B113" s="350" t="str">
        <f>HYPERLINK("http://www.spoj.com/problems/PSYCHON/","SPOJ PSYCHON")</f>
        <v>SPOJ PSYCHON</v>
      </c>
      <c r="C113" s="159"/>
      <c r="D113" s="159"/>
      <c r="E113" s="159"/>
      <c r="F113" s="159"/>
      <c r="G113" s="159"/>
      <c r="H113" s="160"/>
      <c r="I113" s="57">
        <f t="shared" si="0"/>
        <v>0</v>
      </c>
      <c r="J113" s="62"/>
      <c r="K113" s="56"/>
    </row>
    <row r="114" spans="1:13" ht="13.2" x14ac:dyDescent="0.25">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x14ac:dyDescent="0.25">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x14ac:dyDescent="0.25">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x14ac:dyDescent="0.25">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x14ac:dyDescent="0.25">
      <c r="A118" s="282" t="s">
        <v>1173</v>
      </c>
      <c r="B118" s="282" t="s">
        <v>1174</v>
      </c>
      <c r="C118" s="159"/>
      <c r="D118" s="159"/>
      <c r="E118" s="159"/>
      <c r="F118" s="159"/>
      <c r="G118" s="159"/>
      <c r="H118" s="160"/>
      <c r="I118" s="57">
        <f t="shared" si="0"/>
        <v>0</v>
      </c>
      <c r="J118" s="26"/>
      <c r="K118" s="29"/>
    </row>
    <row r="119" spans="1:13" ht="13.2" x14ac:dyDescent="0.25">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x14ac:dyDescent="0.25">
      <c r="A120" s="282"/>
      <c r="B120" s="282" t="s">
        <v>1176</v>
      </c>
      <c r="C120" s="159"/>
      <c r="D120" s="159"/>
      <c r="E120" s="159"/>
      <c r="F120" s="159"/>
      <c r="G120" s="159"/>
      <c r="H120" s="160"/>
      <c r="I120" s="57">
        <f t="shared" si="0"/>
        <v>0</v>
      </c>
      <c r="J120" s="26"/>
      <c r="K120" s="29"/>
      <c r="L120" s="29"/>
      <c r="M120" s="238"/>
    </row>
    <row r="121" spans="1:13" ht="13.2" x14ac:dyDescent="0.25">
      <c r="A121" s="282"/>
      <c r="B121" s="282" t="s">
        <v>1148</v>
      </c>
      <c r="C121" s="159"/>
      <c r="D121" s="159"/>
      <c r="E121" s="159"/>
      <c r="F121" s="159"/>
      <c r="G121" s="159"/>
      <c r="H121" s="160"/>
      <c r="I121" s="57">
        <f t="shared" si="0"/>
        <v>0</v>
      </c>
      <c r="J121" s="26"/>
      <c r="K121" s="29"/>
      <c r="L121" s="29"/>
      <c r="M121" s="184" t="str">
        <f>HYPERLINK("https://ideone.com/Hkl19P","Sol")</f>
        <v>Sol</v>
      </c>
    </row>
    <row r="122" spans="1:13" ht="13.2" x14ac:dyDescent="0.25">
      <c r="A122" s="282"/>
      <c r="B122" s="283" t="str">
        <f>HYPERLINK("http://codeforces.com/contest/592/problem/D","CF592-D2-D")</f>
        <v>CF592-D2-D</v>
      </c>
      <c r="C122" s="159"/>
      <c r="D122" s="159"/>
      <c r="E122" s="159"/>
      <c r="F122" s="159"/>
      <c r="G122" s="159"/>
      <c r="H122" s="160"/>
      <c r="I122" s="57">
        <f t="shared" si="0"/>
        <v>0</v>
      </c>
      <c r="J122" s="26"/>
      <c r="K122" s="29"/>
      <c r="L122" s="29"/>
    </row>
    <row r="123" spans="1:13" ht="13.2" x14ac:dyDescent="0.25">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x14ac:dyDescent="0.25">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x14ac:dyDescent="0.25">
      <c r="A125" s="282"/>
      <c r="B125" s="283" t="str">
        <f>HYPERLINK("https://codeforces.com/contest/867/problem/E","CF867-D12-E")</f>
        <v>CF867-D12-E</v>
      </c>
      <c r="C125" s="159"/>
      <c r="D125" s="159"/>
      <c r="E125" s="159"/>
      <c r="F125" s="159"/>
      <c r="G125" s="159"/>
      <c r="H125" s="160"/>
      <c r="I125" s="57">
        <f t="shared" si="0"/>
        <v>0</v>
      </c>
      <c r="J125" s="26"/>
      <c r="K125" s="29"/>
      <c r="L125" s="29"/>
    </row>
    <row r="126" spans="1:13" ht="13.2" x14ac:dyDescent="0.25">
      <c r="A126" s="166"/>
      <c r="C126" s="159"/>
      <c r="D126" s="159"/>
      <c r="E126" s="159"/>
      <c r="F126" s="159"/>
      <c r="G126" s="159"/>
      <c r="H126" s="160"/>
      <c r="I126" s="57">
        <f t="shared" si="0"/>
        <v>0</v>
      </c>
      <c r="J126" s="62"/>
      <c r="K126" s="56"/>
      <c r="L126" s="29"/>
    </row>
    <row r="127" spans="1:13" ht="13.2" x14ac:dyDescent="0.25">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x14ac:dyDescent="0.25">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x14ac:dyDescent="0.25">
      <c r="A129" s="166" t="s">
        <v>1181</v>
      </c>
      <c r="B129" s="354" t="str">
        <f>HYPERLINK("http://codeforces.com/contest/122/problem/D","CF122-D2-D")</f>
        <v>CF122-D2-D</v>
      </c>
      <c r="C129" s="159"/>
      <c r="D129" s="159"/>
      <c r="E129" s="159"/>
      <c r="F129" s="159"/>
      <c r="G129" s="159"/>
      <c r="H129" s="160"/>
      <c r="I129" s="57">
        <f t="shared" si="0"/>
        <v>0</v>
      </c>
      <c r="J129" s="62"/>
      <c r="K129" s="56"/>
    </row>
    <row r="130" spans="1:13" ht="13.2" x14ac:dyDescent="0.25">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x14ac:dyDescent="0.25">
      <c r="A131" s="86" t="s">
        <v>1183</v>
      </c>
      <c r="B131" s="87" t="str">
        <f>HYPERLINK("http://codeforces.com/contest/599/problem/D","CF599-D2-D")</f>
        <v>CF599-D2-D</v>
      </c>
      <c r="C131" s="159"/>
      <c r="D131" s="159"/>
      <c r="E131" s="159"/>
      <c r="F131" s="159"/>
      <c r="G131" s="159"/>
      <c r="H131" s="160"/>
      <c r="I131" s="57">
        <f t="shared" si="0"/>
        <v>0</v>
      </c>
      <c r="J131" s="93"/>
      <c r="K131" s="92"/>
    </row>
    <row r="132" spans="1:13" ht="13.2" x14ac:dyDescent="0.25">
      <c r="A132" s="86" t="s">
        <v>1184</v>
      </c>
      <c r="B132" s="164" t="str">
        <f>HYPERLINK("http://codeforces.com/contest/9/problem/D","CF9-D2-D")</f>
        <v>CF9-D2-D</v>
      </c>
      <c r="C132" s="159"/>
      <c r="D132" s="159"/>
      <c r="E132" s="159"/>
      <c r="F132" s="159"/>
      <c r="G132" s="159"/>
      <c r="H132" s="160"/>
      <c r="I132" s="57">
        <f t="shared" si="0"/>
        <v>0</v>
      </c>
      <c r="J132" s="93"/>
      <c r="K132" s="92"/>
    </row>
    <row r="133" spans="1:13" ht="13.2" x14ac:dyDescent="0.25">
      <c r="A133" s="86"/>
      <c r="B133" s="164" t="str">
        <f>HYPERLINK("http://codeforces.com/contest/1043/problem/E","CF1043-D12-E")</f>
        <v>CF1043-D12-E</v>
      </c>
      <c r="C133" s="159"/>
      <c r="D133" s="159"/>
      <c r="E133" s="159"/>
      <c r="F133" s="159"/>
      <c r="G133" s="159"/>
      <c r="H133" s="160"/>
      <c r="I133" s="57">
        <f t="shared" si="0"/>
        <v>0</v>
      </c>
      <c r="J133" s="93"/>
      <c r="K133" s="92"/>
    </row>
    <row r="134" spans="1:13" ht="13.2" x14ac:dyDescent="0.25">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x14ac:dyDescent="0.25">
      <c r="A135" s="86"/>
      <c r="B135" s="164" t="str">
        <f>HYPERLINK("https://codeforces.com/contest/1060/problem/D","CF1060-D12-D")</f>
        <v>CF1060-D12-D</v>
      </c>
      <c r="C135" s="159"/>
      <c r="D135" s="159"/>
      <c r="E135" s="159"/>
      <c r="F135" s="159"/>
      <c r="G135" s="159"/>
      <c r="H135" s="160"/>
      <c r="I135" s="57">
        <f t="shared" si="0"/>
        <v>0</v>
      </c>
      <c r="J135" s="93"/>
      <c r="K135" s="92"/>
    </row>
    <row r="136" spans="1:13" ht="13.2" x14ac:dyDescent="0.25">
      <c r="A136" s="214" t="s">
        <v>1186</v>
      </c>
      <c r="B136" s="286" t="str">
        <f>HYPERLINK("http://codeforces.com/contest/104/problem/C","CF104-D2-C")</f>
        <v>CF104-D2-C</v>
      </c>
      <c r="C136" s="159"/>
      <c r="D136" s="159"/>
      <c r="E136" s="159"/>
      <c r="F136" s="159"/>
      <c r="G136" s="159"/>
      <c r="H136" s="160"/>
      <c r="I136" s="57">
        <f t="shared" si="0"/>
        <v>0</v>
      </c>
      <c r="J136" s="93"/>
      <c r="K136" s="92"/>
    </row>
    <row r="137" spans="1:13" ht="13.2" x14ac:dyDescent="0.25">
      <c r="A137" s="214" t="s">
        <v>1187</v>
      </c>
      <c r="B137" s="286" t="str">
        <f>HYPERLINK("http://codeforces.com/contest/508/problem/C","CF508-D2-C")</f>
        <v>CF508-D2-C</v>
      </c>
      <c r="C137" s="159"/>
      <c r="D137" s="159"/>
      <c r="E137" s="159"/>
      <c r="F137" s="159"/>
      <c r="G137" s="159"/>
      <c r="H137" s="160"/>
      <c r="I137" s="57">
        <f t="shared" si="0"/>
        <v>0</v>
      </c>
      <c r="J137" s="93"/>
      <c r="K137" s="92"/>
    </row>
    <row r="138" spans="1:13" ht="13.2" x14ac:dyDescent="0.25">
      <c r="A138" s="214" t="s">
        <v>1188</v>
      </c>
      <c r="B138" s="233" t="str">
        <f>HYPERLINK("http://codeforces.com/contest/895/problem/C","CF448-D2-C")</f>
        <v>CF448-D2-C</v>
      </c>
      <c r="C138" s="159"/>
      <c r="D138" s="159"/>
      <c r="E138" s="159"/>
      <c r="F138" s="159"/>
      <c r="G138" s="159"/>
      <c r="H138" s="160"/>
      <c r="I138" s="57">
        <f t="shared" si="0"/>
        <v>0</v>
      </c>
      <c r="J138" s="93"/>
      <c r="K138" s="92"/>
    </row>
    <row r="139" spans="1:13" ht="13.2" x14ac:dyDescent="0.25">
      <c r="A139" s="166"/>
      <c r="C139" s="159"/>
      <c r="D139" s="159"/>
      <c r="E139" s="159"/>
      <c r="F139" s="159"/>
      <c r="G139" s="159"/>
      <c r="H139" s="160"/>
      <c r="I139" s="57">
        <f t="shared" si="0"/>
        <v>0</v>
      </c>
      <c r="J139" s="62"/>
      <c r="K139" s="56"/>
    </row>
    <row r="140" spans="1:13" ht="13.2" x14ac:dyDescent="0.25">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x14ac:dyDescent="0.25">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x14ac:dyDescent="0.25">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x14ac:dyDescent="0.25">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x14ac:dyDescent="0.25">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x14ac:dyDescent="0.25">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x14ac:dyDescent="0.25">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x14ac:dyDescent="0.25">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x14ac:dyDescent="0.25">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x14ac:dyDescent="0.25">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x14ac:dyDescent="0.25">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x14ac:dyDescent="0.25">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x14ac:dyDescent="0.25">
      <c r="A152" s="291"/>
      <c r="B152" s="291" t="s">
        <v>1201</v>
      </c>
      <c r="C152" s="159"/>
      <c r="D152" s="159"/>
      <c r="E152" s="159"/>
      <c r="F152" s="159"/>
      <c r="G152" s="159"/>
      <c r="H152" s="160"/>
      <c r="I152" s="57">
        <f t="shared" si="0"/>
        <v>0</v>
      </c>
      <c r="J152" s="93"/>
      <c r="K152" s="92"/>
      <c r="L152" s="29"/>
      <c r="M152" s="29"/>
    </row>
    <row r="153" spans="1:13" ht="13.2" x14ac:dyDescent="0.25">
      <c r="A153" s="291"/>
      <c r="B153" s="291" t="s">
        <v>1202</v>
      </c>
      <c r="C153" s="159"/>
      <c r="D153" s="159"/>
      <c r="E153" s="159"/>
      <c r="F153" s="159"/>
      <c r="G153" s="159"/>
      <c r="H153" s="160"/>
      <c r="I153" s="57">
        <f t="shared" si="0"/>
        <v>0</v>
      </c>
      <c r="J153" s="93"/>
      <c r="K153" s="92"/>
      <c r="L153" s="29"/>
      <c r="M153" s="29"/>
    </row>
    <row r="154" spans="1:13" ht="13.2" x14ac:dyDescent="0.25">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x14ac:dyDescent="0.25">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x14ac:dyDescent="0.25">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x14ac:dyDescent="0.25">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x14ac:dyDescent="0.25">
      <c r="A158" s="166"/>
      <c r="C158" s="159"/>
      <c r="D158" s="159"/>
      <c r="E158" s="159"/>
      <c r="F158" s="159"/>
      <c r="G158" s="159"/>
      <c r="H158" s="160"/>
      <c r="I158" s="57">
        <f t="shared" si="0"/>
        <v>0</v>
      </c>
      <c r="J158" s="62"/>
      <c r="K158" s="56"/>
      <c r="L158" s="29"/>
      <c r="M158" s="86"/>
    </row>
    <row r="159" spans="1:13" ht="13.2" x14ac:dyDescent="0.25">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x14ac:dyDescent="0.25">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x14ac:dyDescent="0.25">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x14ac:dyDescent="0.25">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x14ac:dyDescent="0.25">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x14ac:dyDescent="0.25">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x14ac:dyDescent="0.25">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x14ac:dyDescent="0.25">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x14ac:dyDescent="0.25">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x14ac:dyDescent="0.25">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x14ac:dyDescent="0.25"/>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x14ac:dyDescent="0.25">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x14ac:dyDescent="0.25">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x14ac:dyDescent="0.25">
      <c r="A3" s="83"/>
      <c r="B3" s="83"/>
      <c r="C3" s="484" t="s">
        <v>1214</v>
      </c>
      <c r="D3" s="461"/>
      <c r="E3" s="461"/>
      <c r="F3" s="461"/>
      <c r="G3" s="461"/>
      <c r="H3" s="461"/>
      <c r="I3" s="461"/>
      <c r="J3" s="461"/>
      <c r="K3" s="461"/>
      <c r="L3" s="461"/>
      <c r="M3" s="461"/>
      <c r="N3" s="259"/>
      <c r="O3" s="259"/>
      <c r="P3" s="383"/>
    </row>
    <row r="4" spans="1:17" ht="13.2" x14ac:dyDescent="0.25">
      <c r="A4" s="83"/>
      <c r="B4" s="83"/>
      <c r="C4" s="484" t="s">
        <v>1215</v>
      </c>
      <c r="D4" s="461"/>
      <c r="E4" s="461"/>
      <c r="F4" s="461"/>
      <c r="G4" s="461"/>
      <c r="H4" s="461"/>
      <c r="I4" s="461"/>
      <c r="J4" s="461"/>
      <c r="K4" s="461"/>
      <c r="L4" s="461"/>
      <c r="M4" s="461"/>
      <c r="N4" s="259"/>
      <c r="O4" s="259"/>
      <c r="P4" s="383"/>
    </row>
    <row r="5" spans="1:17" ht="13.2" x14ac:dyDescent="0.25">
      <c r="A5" s="83"/>
      <c r="B5" s="83"/>
      <c r="C5" s="484" t="s">
        <v>1216</v>
      </c>
      <c r="D5" s="461"/>
      <c r="E5" s="461"/>
      <c r="F5" s="461"/>
      <c r="G5" s="461"/>
      <c r="H5" s="461"/>
      <c r="I5" s="461"/>
      <c r="J5" s="461"/>
      <c r="K5" s="461"/>
      <c r="L5" s="461"/>
      <c r="M5" s="461"/>
      <c r="N5" s="259"/>
      <c r="O5" s="259"/>
      <c r="P5" s="383"/>
    </row>
    <row r="6" spans="1:17" ht="13.2" x14ac:dyDescent="0.25">
      <c r="A6" s="83"/>
      <c r="B6" s="83"/>
      <c r="C6" s="384"/>
      <c r="D6" s="384"/>
      <c r="E6" s="384"/>
      <c r="F6" s="384"/>
      <c r="G6" s="384"/>
      <c r="H6" s="384"/>
      <c r="I6" s="384"/>
      <c r="J6" s="384"/>
      <c r="K6" s="384"/>
      <c r="L6" s="384"/>
      <c r="M6" s="385"/>
      <c r="N6" s="259"/>
      <c r="O6" s="259"/>
      <c r="P6" s="383"/>
    </row>
    <row r="7" spans="1:17" ht="13.2" x14ac:dyDescent="0.25">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x14ac:dyDescent="0.25">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x14ac:dyDescent="0.25">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x14ac:dyDescent="0.25">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x14ac:dyDescent="0.25">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x14ac:dyDescent="0.25">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x14ac:dyDescent="0.25">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x14ac:dyDescent="0.25">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x14ac:dyDescent="0.25">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x14ac:dyDescent="0.25">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x14ac:dyDescent="0.25">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x14ac:dyDescent="0.25">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x14ac:dyDescent="0.25">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x14ac:dyDescent="0.25">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x14ac:dyDescent="0.25">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x14ac:dyDescent="0.25">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x14ac:dyDescent="0.25">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x14ac:dyDescent="0.25">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x14ac:dyDescent="0.25">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x14ac:dyDescent="0.25">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x14ac:dyDescent="0.25">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x14ac:dyDescent="0.25">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x14ac:dyDescent="0.25">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x14ac:dyDescent="0.25">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x14ac:dyDescent="0.25">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x14ac:dyDescent="0.25">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x14ac:dyDescent="0.25">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x14ac:dyDescent="0.25">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x14ac:dyDescent="0.25">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x14ac:dyDescent="0.25">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x14ac:dyDescent="0.25">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x14ac:dyDescent="0.25">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x14ac:dyDescent="0.25">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x14ac:dyDescent="0.25">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x14ac:dyDescent="0.25">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x14ac:dyDescent="0.25">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x14ac:dyDescent="0.25">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x14ac:dyDescent="0.25">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x14ac:dyDescent="0.25">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x14ac:dyDescent="0.25">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x14ac:dyDescent="0.25">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x14ac:dyDescent="0.25">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x14ac:dyDescent="0.25">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x14ac:dyDescent="0.25">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x14ac:dyDescent="0.25">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x14ac:dyDescent="0.25">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x14ac:dyDescent="0.25">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x14ac:dyDescent="0.25">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x14ac:dyDescent="0.25">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x14ac:dyDescent="0.25">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x14ac:dyDescent="0.25">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x14ac:dyDescent="0.25">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x14ac:dyDescent="0.25">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x14ac:dyDescent="0.25">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x14ac:dyDescent="0.25">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x14ac:dyDescent="0.25">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x14ac:dyDescent="0.25">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x14ac:dyDescent="0.25">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x14ac:dyDescent="0.25">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x14ac:dyDescent="0.25">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x14ac:dyDescent="0.25">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x14ac:dyDescent="0.25">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x14ac:dyDescent="0.25">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x14ac:dyDescent="0.25">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x14ac:dyDescent="0.25">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x14ac:dyDescent="0.25">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x14ac:dyDescent="0.25">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x14ac:dyDescent="0.25">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x14ac:dyDescent="0.25">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x14ac:dyDescent="0.25">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x14ac:dyDescent="0.25">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x14ac:dyDescent="0.25">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x14ac:dyDescent="0.25">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x14ac:dyDescent="0.25">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x14ac:dyDescent="0.25">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x14ac:dyDescent="0.25">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x14ac:dyDescent="0.25">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x14ac:dyDescent="0.25">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x14ac:dyDescent="0.25">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x14ac:dyDescent="0.25">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x14ac:dyDescent="0.25">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x14ac:dyDescent="0.25">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x14ac:dyDescent="0.25">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x14ac:dyDescent="0.25">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x14ac:dyDescent="0.25">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x14ac:dyDescent="0.25">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x14ac:dyDescent="0.25">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x14ac:dyDescent="0.25">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x14ac:dyDescent="0.25">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x14ac:dyDescent="0.25">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x14ac:dyDescent="0.25">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x14ac:dyDescent="0.25">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x14ac:dyDescent="0.25">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x14ac:dyDescent="0.25">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x14ac:dyDescent="0.25">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x14ac:dyDescent="0.25">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x14ac:dyDescent="0.25">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x14ac:dyDescent="0.25">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x14ac:dyDescent="0.25">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x14ac:dyDescent="0.25">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x14ac:dyDescent="0.25">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x14ac:dyDescent="0.25">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x14ac:dyDescent="0.25">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x14ac:dyDescent="0.25">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x14ac:dyDescent="0.25">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x14ac:dyDescent="0.25">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x14ac:dyDescent="0.25">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x14ac:dyDescent="0.25">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x14ac:dyDescent="0.25">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x14ac:dyDescent="0.25">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x14ac:dyDescent="0.25">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x14ac:dyDescent="0.25">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x14ac:dyDescent="0.25">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x14ac:dyDescent="0.25">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x14ac:dyDescent="0.25">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x14ac:dyDescent="0.25">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x14ac:dyDescent="0.25">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x14ac:dyDescent="0.25">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x14ac:dyDescent="0.25">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x14ac:dyDescent="0.25">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x14ac:dyDescent="0.25">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x14ac:dyDescent="0.25">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x14ac:dyDescent="0.25">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x14ac:dyDescent="0.25">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x14ac:dyDescent="0.25">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x14ac:dyDescent="0.25">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x14ac:dyDescent="0.25">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x14ac:dyDescent="0.25">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x14ac:dyDescent="0.25">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x14ac:dyDescent="0.25">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x14ac:dyDescent="0.25">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x14ac:dyDescent="0.25">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x14ac:dyDescent="0.25">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x14ac:dyDescent="0.25">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x14ac:dyDescent="0.25">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x14ac:dyDescent="0.25">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x14ac:dyDescent="0.25">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x14ac:dyDescent="0.25">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x14ac:dyDescent="0.25">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x14ac:dyDescent="0.25">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x14ac:dyDescent="0.25">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x14ac:dyDescent="0.25">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x14ac:dyDescent="0.25">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x14ac:dyDescent="0.25">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x14ac:dyDescent="0.25">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x14ac:dyDescent="0.25">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x14ac:dyDescent="0.25">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x14ac:dyDescent="0.25">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x14ac:dyDescent="0.25">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x14ac:dyDescent="0.25">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x14ac:dyDescent="0.25">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x14ac:dyDescent="0.25">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x14ac:dyDescent="0.25">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x14ac:dyDescent="0.25">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x14ac:dyDescent="0.25">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x14ac:dyDescent="0.25">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x14ac:dyDescent="0.25">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x14ac:dyDescent="0.25">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x14ac:dyDescent="0.25">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x14ac:dyDescent="0.25">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x14ac:dyDescent="0.25">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x14ac:dyDescent="0.25">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x14ac:dyDescent="0.25">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x14ac:dyDescent="0.25">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x14ac:dyDescent="0.25">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x14ac:dyDescent="0.25">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x14ac:dyDescent="0.25">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x14ac:dyDescent="0.25">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x14ac:dyDescent="0.25">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x14ac:dyDescent="0.25">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x14ac:dyDescent="0.25">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x14ac:dyDescent="0.25">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x14ac:dyDescent="0.25">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x14ac:dyDescent="0.25">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x14ac:dyDescent="0.25">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x14ac:dyDescent="0.25">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x14ac:dyDescent="0.25">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x14ac:dyDescent="0.25">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x14ac:dyDescent="0.25">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x14ac:dyDescent="0.25">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x14ac:dyDescent="0.25">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x14ac:dyDescent="0.25">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x14ac:dyDescent="0.25">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x14ac:dyDescent="0.25">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x14ac:dyDescent="0.25">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x14ac:dyDescent="0.25">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x14ac:dyDescent="0.25">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x14ac:dyDescent="0.25">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x14ac:dyDescent="0.25">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x14ac:dyDescent="0.25">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x14ac:dyDescent="0.25">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x14ac:dyDescent="0.25">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x14ac:dyDescent="0.25">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x14ac:dyDescent="0.25">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x14ac:dyDescent="0.25">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x14ac:dyDescent="0.25">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x14ac:dyDescent="0.25">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x14ac:dyDescent="0.25">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x14ac:dyDescent="0.25">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x14ac:dyDescent="0.25">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x14ac:dyDescent="0.25">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x14ac:dyDescent="0.25">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x14ac:dyDescent="0.25">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x14ac:dyDescent="0.25">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x14ac:dyDescent="0.25">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x14ac:dyDescent="0.25">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x14ac:dyDescent="0.25">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x14ac:dyDescent="0.25">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x14ac:dyDescent="0.25">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x14ac:dyDescent="0.25">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x14ac:dyDescent="0.25">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x14ac:dyDescent="0.25">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x14ac:dyDescent="0.25">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x14ac:dyDescent="0.25">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x14ac:dyDescent="0.25">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x14ac:dyDescent="0.25">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x14ac:dyDescent="0.25">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x14ac:dyDescent="0.25">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x14ac:dyDescent="0.25">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x14ac:dyDescent="0.25">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x14ac:dyDescent="0.25">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x14ac:dyDescent="0.25">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x14ac:dyDescent="0.25">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x14ac:dyDescent="0.25">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x14ac:dyDescent="0.25">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x14ac:dyDescent="0.25">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x14ac:dyDescent="0.25">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x14ac:dyDescent="0.25">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x14ac:dyDescent="0.25">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x14ac:dyDescent="0.25">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x14ac:dyDescent="0.25">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x14ac:dyDescent="0.25">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x14ac:dyDescent="0.25">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x14ac:dyDescent="0.25">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x14ac:dyDescent="0.25">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x14ac:dyDescent="0.25">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x14ac:dyDescent="0.25">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x14ac:dyDescent="0.25">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x14ac:dyDescent="0.25">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x14ac:dyDescent="0.25">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x14ac:dyDescent="0.25">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x14ac:dyDescent="0.25">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x14ac:dyDescent="0.25">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x14ac:dyDescent="0.25">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x14ac:dyDescent="0.25">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x14ac:dyDescent="0.25">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x14ac:dyDescent="0.25">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x14ac:dyDescent="0.25">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x14ac:dyDescent="0.25">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x14ac:dyDescent="0.25">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x14ac:dyDescent="0.25">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x14ac:dyDescent="0.25">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x14ac:dyDescent="0.25">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x14ac:dyDescent="0.25">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x14ac:dyDescent="0.25">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x14ac:dyDescent="0.25">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x14ac:dyDescent="0.25">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x14ac:dyDescent="0.25">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x14ac:dyDescent="0.25">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x14ac:dyDescent="0.25">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x14ac:dyDescent="0.25">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x14ac:dyDescent="0.25">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x14ac:dyDescent="0.25">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x14ac:dyDescent="0.25">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x14ac:dyDescent="0.25">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x14ac:dyDescent="0.25">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x14ac:dyDescent="0.25">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x14ac:dyDescent="0.25">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x14ac:dyDescent="0.25">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x14ac:dyDescent="0.25">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x14ac:dyDescent="0.25">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x14ac:dyDescent="0.25">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x14ac:dyDescent="0.25">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x14ac:dyDescent="0.25">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x14ac:dyDescent="0.25">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x14ac:dyDescent="0.25">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x14ac:dyDescent="0.25">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x14ac:dyDescent="0.25">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x14ac:dyDescent="0.25">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x14ac:dyDescent="0.25">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x14ac:dyDescent="0.25">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x14ac:dyDescent="0.25">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x14ac:dyDescent="0.25">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x14ac:dyDescent="0.25">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x14ac:dyDescent="0.25">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x14ac:dyDescent="0.25">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x14ac:dyDescent="0.25">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x14ac:dyDescent="0.25">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x14ac:dyDescent="0.25">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x14ac:dyDescent="0.25">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x14ac:dyDescent="0.25">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x14ac:dyDescent="0.25">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x14ac:dyDescent="0.25">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x14ac:dyDescent="0.25">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x14ac:dyDescent="0.25">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x14ac:dyDescent="0.25">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x14ac:dyDescent="0.25">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x14ac:dyDescent="0.25">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x14ac:dyDescent="0.25">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x14ac:dyDescent="0.25">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x14ac:dyDescent="0.25">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x14ac:dyDescent="0.25">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x14ac:dyDescent="0.25">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x14ac:dyDescent="0.25">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x14ac:dyDescent="0.25">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x14ac:dyDescent="0.25">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x14ac:dyDescent="0.25">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x14ac:dyDescent="0.25">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x14ac:dyDescent="0.25">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x14ac:dyDescent="0.25">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x14ac:dyDescent="0.25">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x14ac:dyDescent="0.25">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x14ac:dyDescent="0.25">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x14ac:dyDescent="0.25">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x14ac:dyDescent="0.25">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x14ac:dyDescent="0.25">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x14ac:dyDescent="0.25">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x14ac:dyDescent="0.25">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x14ac:dyDescent="0.25">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x14ac:dyDescent="0.25">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x14ac:dyDescent="0.25">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x14ac:dyDescent="0.25">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x14ac:dyDescent="0.25">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x14ac:dyDescent="0.25">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x14ac:dyDescent="0.25">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x14ac:dyDescent="0.25">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x14ac:dyDescent="0.25">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x14ac:dyDescent="0.25">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x14ac:dyDescent="0.25">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x14ac:dyDescent="0.25">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x14ac:dyDescent="0.25">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x14ac:dyDescent="0.25">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x14ac:dyDescent="0.25">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x14ac:dyDescent="0.25">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x14ac:dyDescent="0.25">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x14ac:dyDescent="0.25">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x14ac:dyDescent="0.25">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x14ac:dyDescent="0.25">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x14ac:dyDescent="0.25">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x14ac:dyDescent="0.25">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x14ac:dyDescent="0.25">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x14ac:dyDescent="0.25">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x14ac:dyDescent="0.25">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x14ac:dyDescent="0.25">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x14ac:dyDescent="0.25">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x14ac:dyDescent="0.25">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x14ac:dyDescent="0.25">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x14ac:dyDescent="0.25">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x14ac:dyDescent="0.25">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x14ac:dyDescent="0.25">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x14ac:dyDescent="0.25">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x14ac:dyDescent="0.25">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x14ac:dyDescent="0.25">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x14ac:dyDescent="0.25">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x14ac:dyDescent="0.25">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x14ac:dyDescent="0.25">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x14ac:dyDescent="0.25">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x14ac:dyDescent="0.25">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x14ac:dyDescent="0.25">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x14ac:dyDescent="0.25">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x14ac:dyDescent="0.25">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x14ac:dyDescent="0.25">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x14ac:dyDescent="0.25">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x14ac:dyDescent="0.25">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x14ac:dyDescent="0.25">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x14ac:dyDescent="0.25">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x14ac:dyDescent="0.25">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x14ac:dyDescent="0.25">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x14ac:dyDescent="0.25">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x14ac:dyDescent="0.25">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x14ac:dyDescent="0.25">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x14ac:dyDescent="0.25">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x14ac:dyDescent="0.25">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x14ac:dyDescent="0.25">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x14ac:dyDescent="0.25">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x14ac:dyDescent="0.25">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x14ac:dyDescent="0.25">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x14ac:dyDescent="0.25">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x14ac:dyDescent="0.25">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x14ac:dyDescent="0.25">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x14ac:dyDescent="0.25">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x14ac:dyDescent="0.25">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x14ac:dyDescent="0.25">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x14ac:dyDescent="0.25">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x14ac:dyDescent="0.25">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x14ac:dyDescent="0.25">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x14ac:dyDescent="0.25">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x14ac:dyDescent="0.25">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x14ac:dyDescent="0.25">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x14ac:dyDescent="0.25">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x14ac:dyDescent="0.25">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x14ac:dyDescent="0.25">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x14ac:dyDescent="0.25">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x14ac:dyDescent="0.25">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x14ac:dyDescent="0.25">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x14ac:dyDescent="0.25">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x14ac:dyDescent="0.25">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x14ac:dyDescent="0.25">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x14ac:dyDescent="0.25">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x14ac:dyDescent="0.25">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x14ac:dyDescent="0.25">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x14ac:dyDescent="0.25">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x14ac:dyDescent="0.25">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x14ac:dyDescent="0.25">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x14ac:dyDescent="0.25">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x14ac:dyDescent="0.25">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x14ac:dyDescent="0.25">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x14ac:dyDescent="0.25">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x14ac:dyDescent="0.25">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x14ac:dyDescent="0.25">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x14ac:dyDescent="0.25">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x14ac:dyDescent="0.25">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x14ac:dyDescent="0.25">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x14ac:dyDescent="0.25">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x14ac:dyDescent="0.25">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x14ac:dyDescent="0.25">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x14ac:dyDescent="0.25">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x14ac:dyDescent="0.25">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x14ac:dyDescent="0.25">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x14ac:dyDescent="0.25">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x14ac:dyDescent="0.25">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x14ac:dyDescent="0.25">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x14ac:dyDescent="0.25">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x14ac:dyDescent="0.25">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x14ac:dyDescent="0.25">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x14ac:dyDescent="0.25">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x14ac:dyDescent="0.25">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x14ac:dyDescent="0.25">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x14ac:dyDescent="0.25">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x14ac:dyDescent="0.25">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x14ac:dyDescent="0.25">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x14ac:dyDescent="0.25">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x14ac:dyDescent="0.25">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x14ac:dyDescent="0.25">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x14ac:dyDescent="0.25">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x14ac:dyDescent="0.25">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x14ac:dyDescent="0.25">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x14ac:dyDescent="0.25">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x14ac:dyDescent="0.25">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x14ac:dyDescent="0.25">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x14ac:dyDescent="0.25">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x14ac:dyDescent="0.25">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x14ac:dyDescent="0.25">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x14ac:dyDescent="0.25">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x14ac:dyDescent="0.25">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x14ac:dyDescent="0.25">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x14ac:dyDescent="0.25">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x14ac:dyDescent="0.25">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x14ac:dyDescent="0.25">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x14ac:dyDescent="0.25">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x14ac:dyDescent="0.25">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x14ac:dyDescent="0.25">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x14ac:dyDescent="0.25">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x14ac:dyDescent="0.25">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x14ac:dyDescent="0.25">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x14ac:dyDescent="0.25">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x14ac:dyDescent="0.25">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x14ac:dyDescent="0.25">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x14ac:dyDescent="0.25">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x14ac:dyDescent="0.25">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x14ac:dyDescent="0.25">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x14ac:dyDescent="0.25">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x14ac:dyDescent="0.25">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x14ac:dyDescent="0.25">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x14ac:dyDescent="0.25">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x14ac:dyDescent="0.25">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x14ac:dyDescent="0.25">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x14ac:dyDescent="0.25">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x14ac:dyDescent="0.25">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x14ac:dyDescent="0.25">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x14ac:dyDescent="0.25">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x14ac:dyDescent="0.25">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x14ac:dyDescent="0.25">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x14ac:dyDescent="0.25">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x14ac:dyDescent="0.25">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x14ac:dyDescent="0.25">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x14ac:dyDescent="0.25">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x14ac:dyDescent="0.25">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x14ac:dyDescent="0.25">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x14ac:dyDescent="0.25">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x14ac:dyDescent="0.25">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x14ac:dyDescent="0.25">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x14ac:dyDescent="0.25">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x14ac:dyDescent="0.25">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x14ac:dyDescent="0.25">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x14ac:dyDescent="0.25">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x14ac:dyDescent="0.25">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x14ac:dyDescent="0.25">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x14ac:dyDescent="0.25">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x14ac:dyDescent="0.25">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x14ac:dyDescent="0.25">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x14ac:dyDescent="0.25">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x14ac:dyDescent="0.25">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x14ac:dyDescent="0.25">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x14ac:dyDescent="0.25">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x14ac:dyDescent="0.25">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x14ac:dyDescent="0.25">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x14ac:dyDescent="0.25">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x14ac:dyDescent="0.25">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x14ac:dyDescent="0.25">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x14ac:dyDescent="0.25">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x14ac:dyDescent="0.25">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x14ac:dyDescent="0.25">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x14ac:dyDescent="0.25">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x14ac:dyDescent="0.25">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x14ac:dyDescent="0.25">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x14ac:dyDescent="0.25">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x14ac:dyDescent="0.25">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x14ac:dyDescent="0.25">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x14ac:dyDescent="0.25">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x14ac:dyDescent="0.25">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x14ac:dyDescent="0.25">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x14ac:dyDescent="0.25">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x14ac:dyDescent="0.25">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x14ac:dyDescent="0.25">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x14ac:dyDescent="0.25">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x14ac:dyDescent="0.25">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x14ac:dyDescent="0.25">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x14ac:dyDescent="0.25">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x14ac:dyDescent="0.25">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x14ac:dyDescent="0.25">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x14ac:dyDescent="0.25">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x14ac:dyDescent="0.25">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x14ac:dyDescent="0.25">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x14ac:dyDescent="0.25">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x14ac:dyDescent="0.25">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x14ac:dyDescent="0.25">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x14ac:dyDescent="0.25">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x14ac:dyDescent="0.25">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x14ac:dyDescent="0.25">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x14ac:dyDescent="0.25">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x14ac:dyDescent="0.25">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x14ac:dyDescent="0.25">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x14ac:dyDescent="0.25">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x14ac:dyDescent="0.25">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x14ac:dyDescent="0.25">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x14ac:dyDescent="0.25">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x14ac:dyDescent="0.25">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x14ac:dyDescent="0.25">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x14ac:dyDescent="0.25">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x14ac:dyDescent="0.25">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x14ac:dyDescent="0.25">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x14ac:dyDescent="0.25">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x14ac:dyDescent="0.25">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x14ac:dyDescent="0.25">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x14ac:dyDescent="0.25">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x14ac:dyDescent="0.25">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x14ac:dyDescent="0.25">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x14ac:dyDescent="0.25">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x14ac:dyDescent="0.25">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x14ac:dyDescent="0.25">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x14ac:dyDescent="0.25">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x14ac:dyDescent="0.25">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x14ac:dyDescent="0.25">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x14ac:dyDescent="0.25">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x14ac:dyDescent="0.25">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x14ac:dyDescent="0.25">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x14ac:dyDescent="0.25">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x14ac:dyDescent="0.25">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x14ac:dyDescent="0.25">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x14ac:dyDescent="0.25">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x14ac:dyDescent="0.25">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x14ac:dyDescent="0.25">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x14ac:dyDescent="0.25">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x14ac:dyDescent="0.25">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x14ac:dyDescent="0.25">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x14ac:dyDescent="0.25">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x14ac:dyDescent="0.25">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x14ac:dyDescent="0.25">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x14ac:dyDescent="0.25">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x14ac:dyDescent="0.25">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x14ac:dyDescent="0.25">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x14ac:dyDescent="0.25">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x14ac:dyDescent="0.25">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x14ac:dyDescent="0.25">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x14ac:dyDescent="0.25">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x14ac:dyDescent="0.25">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x14ac:dyDescent="0.25">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x14ac:dyDescent="0.25">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x14ac:dyDescent="0.25">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x14ac:dyDescent="0.25">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x14ac:dyDescent="0.25">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x14ac:dyDescent="0.25">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x14ac:dyDescent="0.25">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x14ac:dyDescent="0.25">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x14ac:dyDescent="0.25">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x14ac:dyDescent="0.25">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x14ac:dyDescent="0.25">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x14ac:dyDescent="0.25">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x14ac:dyDescent="0.25">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x14ac:dyDescent="0.25">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x14ac:dyDescent="0.25">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x14ac:dyDescent="0.25">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x14ac:dyDescent="0.25">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x14ac:dyDescent="0.25">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x14ac:dyDescent="0.25">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x14ac:dyDescent="0.25">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x14ac:dyDescent="0.25">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x14ac:dyDescent="0.25">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x14ac:dyDescent="0.25">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x14ac:dyDescent="0.25">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x14ac:dyDescent="0.25">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x14ac:dyDescent="0.25">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x14ac:dyDescent="0.25">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x14ac:dyDescent="0.25">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x14ac:dyDescent="0.25">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x14ac:dyDescent="0.25">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x14ac:dyDescent="0.25">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x14ac:dyDescent="0.25">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x14ac:dyDescent="0.25">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x14ac:dyDescent="0.25">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x14ac:dyDescent="0.25">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x14ac:dyDescent="0.25">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x14ac:dyDescent="0.25">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x14ac:dyDescent="0.25">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x14ac:dyDescent="0.25">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x14ac:dyDescent="0.25">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x14ac:dyDescent="0.25">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x14ac:dyDescent="0.25">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x14ac:dyDescent="0.25">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x14ac:dyDescent="0.25">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x14ac:dyDescent="0.25">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x14ac:dyDescent="0.25">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x14ac:dyDescent="0.25">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x14ac:dyDescent="0.25">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x14ac:dyDescent="0.25">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x14ac:dyDescent="0.25">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x14ac:dyDescent="0.25">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x14ac:dyDescent="0.25">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x14ac:dyDescent="0.25">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x14ac:dyDescent="0.25">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x14ac:dyDescent="0.25">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x14ac:dyDescent="0.25">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x14ac:dyDescent="0.25">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x14ac:dyDescent="0.25">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x14ac:dyDescent="0.25">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x14ac:dyDescent="0.25">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x14ac:dyDescent="0.25">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x14ac:dyDescent="0.25">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x14ac:dyDescent="0.25">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x14ac:dyDescent="0.25">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x14ac:dyDescent="0.25">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x14ac:dyDescent="0.25">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x14ac:dyDescent="0.25">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x14ac:dyDescent="0.25">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x14ac:dyDescent="0.25">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x14ac:dyDescent="0.25">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x14ac:dyDescent="0.25">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x14ac:dyDescent="0.25">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x14ac:dyDescent="0.25">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x14ac:dyDescent="0.25">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x14ac:dyDescent="0.25">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x14ac:dyDescent="0.25">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x14ac:dyDescent="0.25">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x14ac:dyDescent="0.25">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x14ac:dyDescent="0.25">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x14ac:dyDescent="0.25">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x14ac:dyDescent="0.25">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x14ac:dyDescent="0.25">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x14ac:dyDescent="0.25">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x14ac:dyDescent="0.25">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x14ac:dyDescent="0.25">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x14ac:dyDescent="0.25">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x14ac:dyDescent="0.25">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x14ac:dyDescent="0.25">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x14ac:dyDescent="0.25">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x14ac:dyDescent="0.25">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x14ac:dyDescent="0.25">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x14ac:dyDescent="0.25">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x14ac:dyDescent="0.25">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x14ac:dyDescent="0.25">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x14ac:dyDescent="0.25">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x14ac:dyDescent="0.25">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x14ac:dyDescent="0.25">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x14ac:dyDescent="0.25">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x14ac:dyDescent="0.25">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x14ac:dyDescent="0.25">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x14ac:dyDescent="0.25">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x14ac:dyDescent="0.25">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x14ac:dyDescent="0.25">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x14ac:dyDescent="0.25">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x14ac:dyDescent="0.25">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x14ac:dyDescent="0.25">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x14ac:dyDescent="0.25">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x14ac:dyDescent="0.25">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x14ac:dyDescent="0.25">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x14ac:dyDescent="0.25">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x14ac:dyDescent="0.25">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x14ac:dyDescent="0.25">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x14ac:dyDescent="0.25">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x14ac:dyDescent="0.25">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x14ac:dyDescent="0.25">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x14ac:dyDescent="0.25">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x14ac:dyDescent="0.25">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x14ac:dyDescent="0.25">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x14ac:dyDescent="0.25">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x14ac:dyDescent="0.25">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x14ac:dyDescent="0.25">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x14ac:dyDescent="0.25">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x14ac:dyDescent="0.25">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x14ac:dyDescent="0.25">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x14ac:dyDescent="0.25">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x14ac:dyDescent="0.25">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x14ac:dyDescent="0.25">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x14ac:dyDescent="0.25">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x14ac:dyDescent="0.25">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x14ac:dyDescent="0.25">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x14ac:dyDescent="0.25">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x14ac:dyDescent="0.25">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x14ac:dyDescent="0.25">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x14ac:dyDescent="0.25">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x14ac:dyDescent="0.25">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x14ac:dyDescent="0.25">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x14ac:dyDescent="0.25">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x14ac:dyDescent="0.25">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x14ac:dyDescent="0.25">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x14ac:dyDescent="0.25">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x14ac:dyDescent="0.25">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x14ac:dyDescent="0.25">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x14ac:dyDescent="0.25">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x14ac:dyDescent="0.25">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x14ac:dyDescent="0.25">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x14ac:dyDescent="0.25">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x14ac:dyDescent="0.25">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x14ac:dyDescent="0.25">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x14ac:dyDescent="0.25">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x14ac:dyDescent="0.25">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x14ac:dyDescent="0.25">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x14ac:dyDescent="0.25">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x14ac:dyDescent="0.25">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x14ac:dyDescent="0.25">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x14ac:dyDescent="0.25">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x14ac:dyDescent="0.25">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x14ac:dyDescent="0.25">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x14ac:dyDescent="0.25">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x14ac:dyDescent="0.25">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x14ac:dyDescent="0.25">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x14ac:dyDescent="0.25">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x14ac:dyDescent="0.25">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x14ac:dyDescent="0.25">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x14ac:dyDescent="0.25">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x14ac:dyDescent="0.25">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x14ac:dyDescent="0.25">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x14ac:dyDescent="0.25">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x14ac:dyDescent="0.25">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x14ac:dyDescent="0.25">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x14ac:dyDescent="0.25">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x14ac:dyDescent="0.25">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x14ac:dyDescent="0.25">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x14ac:dyDescent="0.25">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x14ac:dyDescent="0.25">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x14ac:dyDescent="0.25">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x14ac:dyDescent="0.25">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x14ac:dyDescent="0.25">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x14ac:dyDescent="0.25">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x14ac:dyDescent="0.25">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x14ac:dyDescent="0.25">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x14ac:dyDescent="0.25">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x14ac:dyDescent="0.25">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x14ac:dyDescent="0.25">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x14ac:dyDescent="0.25">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x14ac:dyDescent="0.25">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x14ac:dyDescent="0.25">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x14ac:dyDescent="0.25">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x14ac:dyDescent="0.25">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x14ac:dyDescent="0.25">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x14ac:dyDescent="0.25">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x14ac:dyDescent="0.25">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x14ac:dyDescent="0.25">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x14ac:dyDescent="0.25">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x14ac:dyDescent="0.25">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x14ac:dyDescent="0.25">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x14ac:dyDescent="0.25">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x14ac:dyDescent="0.25">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x14ac:dyDescent="0.25">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x14ac:dyDescent="0.25">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x14ac:dyDescent="0.25">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x14ac:dyDescent="0.25">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x14ac:dyDescent="0.25">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x14ac:dyDescent="0.25">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x14ac:dyDescent="0.25">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x14ac:dyDescent="0.25">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x14ac:dyDescent="0.25">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x14ac:dyDescent="0.25">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x14ac:dyDescent="0.25">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x14ac:dyDescent="0.25">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x14ac:dyDescent="0.25">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x14ac:dyDescent="0.25">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x14ac:dyDescent="0.25">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x14ac:dyDescent="0.25">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x14ac:dyDescent="0.25">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x14ac:dyDescent="0.25">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x14ac:dyDescent="0.25">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x14ac:dyDescent="0.25">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x14ac:dyDescent="0.25">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x14ac:dyDescent="0.25">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x14ac:dyDescent="0.25">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x14ac:dyDescent="0.25">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x14ac:dyDescent="0.25">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x14ac:dyDescent="0.25">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x14ac:dyDescent="0.25">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x14ac:dyDescent="0.25">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x14ac:dyDescent="0.25">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x14ac:dyDescent="0.25">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x14ac:dyDescent="0.25">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x14ac:dyDescent="0.25">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x14ac:dyDescent="0.25">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x14ac:dyDescent="0.25">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x14ac:dyDescent="0.25">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x14ac:dyDescent="0.25">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x14ac:dyDescent="0.25">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x14ac:dyDescent="0.25">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x14ac:dyDescent="0.25">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x14ac:dyDescent="0.25">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x14ac:dyDescent="0.25">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x14ac:dyDescent="0.25">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x14ac:dyDescent="0.25">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x14ac:dyDescent="0.25">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x14ac:dyDescent="0.25">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x14ac:dyDescent="0.25">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x14ac:dyDescent="0.25">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x14ac:dyDescent="0.25">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x14ac:dyDescent="0.25">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x14ac:dyDescent="0.25">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x14ac:dyDescent="0.25">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x14ac:dyDescent="0.25">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x14ac:dyDescent="0.25">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x14ac:dyDescent="0.25">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x14ac:dyDescent="0.25">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x14ac:dyDescent="0.25">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x14ac:dyDescent="0.25">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x14ac:dyDescent="0.25">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x14ac:dyDescent="0.25">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x14ac:dyDescent="0.25">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x14ac:dyDescent="0.25">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x14ac:dyDescent="0.25">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x14ac:dyDescent="0.25">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x14ac:dyDescent="0.25">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x14ac:dyDescent="0.25">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x14ac:dyDescent="0.25">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x14ac:dyDescent="0.25">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x14ac:dyDescent="0.25">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x14ac:dyDescent="0.25">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x14ac:dyDescent="0.25">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x14ac:dyDescent="0.25">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x14ac:dyDescent="0.25">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x14ac:dyDescent="0.25">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x14ac:dyDescent="0.25">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x14ac:dyDescent="0.25">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x14ac:dyDescent="0.25">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x14ac:dyDescent="0.25">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x14ac:dyDescent="0.25">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x14ac:dyDescent="0.25">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x14ac:dyDescent="0.25">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x14ac:dyDescent="0.25">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x14ac:dyDescent="0.25">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x14ac:dyDescent="0.25">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x14ac:dyDescent="0.25">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x14ac:dyDescent="0.25">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x14ac:dyDescent="0.25">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x14ac:dyDescent="0.25">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x14ac:dyDescent="0.25">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x14ac:dyDescent="0.25">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x14ac:dyDescent="0.25">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x14ac:dyDescent="0.25">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x14ac:dyDescent="0.25">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x14ac:dyDescent="0.25">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x14ac:dyDescent="0.25">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x14ac:dyDescent="0.25">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x14ac:dyDescent="0.25">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x14ac:dyDescent="0.25">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x14ac:dyDescent="0.25">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x14ac:dyDescent="0.25">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x14ac:dyDescent="0.25">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x14ac:dyDescent="0.25">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x14ac:dyDescent="0.25">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x14ac:dyDescent="0.25">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x14ac:dyDescent="0.25">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x14ac:dyDescent="0.25">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x14ac:dyDescent="0.25">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x14ac:dyDescent="0.25">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x14ac:dyDescent="0.25">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x14ac:dyDescent="0.25">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x14ac:dyDescent="0.25">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x14ac:dyDescent="0.25">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x14ac:dyDescent="0.25">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x14ac:dyDescent="0.25">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x14ac:dyDescent="0.25">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x14ac:dyDescent="0.25">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x14ac:dyDescent="0.25">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x14ac:dyDescent="0.25">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x14ac:dyDescent="0.25">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x14ac:dyDescent="0.25">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x14ac:dyDescent="0.25">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x14ac:dyDescent="0.25">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x14ac:dyDescent="0.25">
      <c r="A902" s="422"/>
      <c r="B902" s="422"/>
      <c r="C902" s="423"/>
      <c r="D902" s="423"/>
      <c r="E902" s="423"/>
      <c r="F902" s="423"/>
      <c r="G902" s="423"/>
      <c r="H902" s="424"/>
      <c r="I902" s="425"/>
      <c r="J902" s="426"/>
      <c r="K902" s="427"/>
      <c r="L902" s="426"/>
      <c r="M902" s="428"/>
      <c r="N902" s="429"/>
      <c r="O902" s="430"/>
      <c r="P902" s="431"/>
      <c r="Q902" s="432"/>
    </row>
    <row r="903" spans="1:17" ht="13.2" x14ac:dyDescent="0.25">
      <c r="A903" s="29"/>
      <c r="B903" s="29"/>
      <c r="C903" s="29"/>
      <c r="D903" s="29"/>
      <c r="E903" s="29"/>
      <c r="F903" s="29"/>
      <c r="G903" s="485" t="s">
        <v>1772</v>
      </c>
      <c r="H903" s="461"/>
      <c r="I903" s="461"/>
      <c r="J903" s="461"/>
      <c r="K903" s="485" t="s">
        <v>1773</v>
      </c>
      <c r="L903" s="461"/>
      <c r="M903" s="485" t="s">
        <v>1774</v>
      </c>
      <c r="N903" s="461"/>
      <c r="O903" s="433"/>
      <c r="P903" s="434"/>
      <c r="Q903" s="26"/>
    </row>
    <row r="904" spans="1:17" ht="13.2" x14ac:dyDescent="0.25">
      <c r="A904" s="486" t="s">
        <v>1775</v>
      </c>
      <c r="B904" s="461"/>
      <c r="C904" s="29"/>
      <c r="D904" s="29"/>
      <c r="E904" s="29"/>
      <c r="F904" s="29"/>
      <c r="G904" s="435"/>
      <c r="H904" s="401"/>
      <c r="I904" s="436"/>
      <c r="K904" s="35">
        <v>1</v>
      </c>
      <c r="L904" s="35"/>
      <c r="M904" s="499" t="str">
        <f>HYPERLINK("https://www.youtube.com/watch?v=fd0Ebfa_mJ0","Watch - Approaching Problem Statement ")</f>
        <v xml:space="preserve">Watch - Approaching Problem Statement </v>
      </c>
      <c r="N904" s="461"/>
      <c r="O904" s="437"/>
      <c r="P904" s="434"/>
      <c r="Q904" s="26"/>
    </row>
    <row r="905" spans="1:17" ht="13.2" x14ac:dyDescent="0.25">
      <c r="A905" s="461"/>
      <c r="B905" s="461"/>
      <c r="C905" s="29"/>
      <c r="D905" s="29"/>
      <c r="E905" s="29"/>
      <c r="F905" s="29"/>
      <c r="G905" s="438"/>
      <c r="H905" s="401"/>
      <c r="I905" s="436"/>
      <c r="K905" s="35">
        <v>2</v>
      </c>
      <c r="L905" s="35"/>
      <c r="M905" s="500" t="str">
        <f>HYPERLINK("https://www.youtube.com/watch?v=olcmPKZNqnM","Watch - Thinking - On papers Not on PC ")</f>
        <v xml:space="preserve">Watch - Thinking - On papers Not on PC </v>
      </c>
      <c r="N905" s="461"/>
      <c r="O905" s="437"/>
      <c r="P905" s="262"/>
    </row>
    <row r="906" spans="1:17" ht="13.2" x14ac:dyDescent="0.25">
      <c r="A906" s="461"/>
      <c r="B906" s="461"/>
      <c r="C906" s="29"/>
      <c r="D906" s="29"/>
      <c r="E906" s="29"/>
      <c r="F906" s="29"/>
      <c r="G906" s="435"/>
      <c r="H906" s="401"/>
      <c r="I906" s="436"/>
      <c r="K906" s="35">
        <v>3</v>
      </c>
      <c r="L906" s="35"/>
      <c r="M906" s="499" t="str">
        <f>HYPERLINK("https://www.youtube.com/watch?v=EQzmtn4PzYQ","Watch - Measuring Algorithms Perfromance - 1")</f>
        <v>Watch - Measuring Algorithms Perfromance - 1</v>
      </c>
      <c r="N906" s="461"/>
      <c r="O906" s="437"/>
      <c r="P906" s="439"/>
    </row>
    <row r="907" spans="1:17" ht="13.2" x14ac:dyDescent="0.25">
      <c r="A907" s="461"/>
      <c r="B907" s="461"/>
      <c r="C907" s="29"/>
      <c r="D907" s="29"/>
      <c r="E907" s="29"/>
      <c r="F907" s="29"/>
      <c r="G907" s="435"/>
      <c r="H907" s="401"/>
      <c r="I907" s="436"/>
      <c r="K907" s="35">
        <v>4</v>
      </c>
      <c r="L907" s="35"/>
      <c r="M907" s="501" t="str">
        <f>HYPERLINK("https://www.youtube.com/watch?v=Syx2qDjj7TE","Watch - Elementary Math - Introduction")</f>
        <v>Watch - Elementary Math - Introduction</v>
      </c>
      <c r="N907" s="461"/>
      <c r="O907" s="439"/>
      <c r="P907" s="439"/>
    </row>
    <row r="908" spans="1:17" ht="13.2" x14ac:dyDescent="0.25">
      <c r="A908" s="461"/>
      <c r="B908" s="461"/>
      <c r="C908" s="29"/>
      <c r="D908" s="29"/>
      <c r="E908" s="29"/>
      <c r="F908" s="29"/>
      <c r="G908" s="440">
        <v>109</v>
      </c>
      <c r="H908" s="401"/>
      <c r="I908" s="436"/>
      <c r="K908" s="35">
        <v>5</v>
      </c>
      <c r="L908" s="35"/>
      <c r="M908" s="502" t="str">
        <f>HYPERLINK("https://www.youtube.com/watch?v=9sqvjnvuLtY","Watch - Number Theory - Modular Arithmatic")</f>
        <v>Watch - Number Theory - Modular Arithmatic</v>
      </c>
      <c r="N908" s="461"/>
      <c r="O908" s="442"/>
      <c r="P908" s="442"/>
    </row>
    <row r="909" spans="1:17" ht="13.2" x14ac:dyDescent="0.25">
      <c r="A909" s="461"/>
      <c r="B909" s="461"/>
      <c r="C909" s="29"/>
      <c r="D909" s="29"/>
      <c r="E909" s="29"/>
      <c r="F909" s="29"/>
      <c r="G909" s="440" t="s">
        <v>1776</v>
      </c>
      <c r="H909" s="401"/>
      <c r="I909" s="436"/>
      <c r="K909" s="35">
        <v>6</v>
      </c>
      <c r="L909" s="35"/>
      <c r="M909" s="502" t="str">
        <f>HYPERLINK("https://www.youtube.com/watch?v=sr6WgCLcgVM","Watch - Combinatorics - Counting Principles")</f>
        <v>Watch - Combinatorics - Counting Principles</v>
      </c>
      <c r="N909" s="461"/>
      <c r="O909" s="262"/>
      <c r="P909" s="262"/>
    </row>
    <row r="910" spans="1:17" ht="13.2" x14ac:dyDescent="0.25">
      <c r="A910" s="461"/>
      <c r="B910" s="461"/>
      <c r="C910" s="29"/>
      <c r="D910" s="29"/>
      <c r="E910" s="29"/>
      <c r="F910" s="29"/>
      <c r="G910" s="438"/>
      <c r="H910" s="401"/>
      <c r="I910" s="436"/>
      <c r="K910" s="35">
        <v>7</v>
      </c>
      <c r="L910" s="35"/>
      <c r="M910" s="503" t="str">
        <f>HYPERLINK("https://www.youtube.com/watch?v=jzfcfQVBtKA","Watch - Graph Theory - Intro")</f>
        <v>Watch - Graph Theory - Intro</v>
      </c>
      <c r="N910" s="461"/>
      <c r="O910" s="444"/>
      <c r="P910" s="444"/>
    </row>
    <row r="911" spans="1:17" ht="13.2" x14ac:dyDescent="0.25">
      <c r="A911" s="461"/>
      <c r="B911" s="461"/>
      <c r="C911" s="29"/>
      <c r="D911" s="29"/>
      <c r="E911" s="29"/>
      <c r="F911" s="29"/>
      <c r="G911" s="445" t="s">
        <v>1777</v>
      </c>
      <c r="H911" s="401"/>
      <c r="I911" s="436"/>
      <c r="K911" s="35">
        <v>8</v>
      </c>
      <c r="L911" s="35"/>
      <c r="M911" s="503" t="str">
        <f>HYPERLINK("https://www.youtube.com/watch?v=9DP0X2xlPCo","Watch - Graph Theory - DFS")</f>
        <v>Watch - Graph Theory - DFS</v>
      </c>
      <c r="N911" s="461"/>
      <c r="O911" s="439"/>
      <c r="P911" s="439"/>
    </row>
    <row r="912" spans="1:17" ht="13.2" x14ac:dyDescent="0.25">
      <c r="A912" s="461"/>
      <c r="B912" s="461"/>
      <c r="C912" s="29"/>
      <c r="D912" s="29"/>
      <c r="E912" s="29"/>
      <c r="F912" s="29"/>
      <c r="G912" s="445">
        <v>45</v>
      </c>
      <c r="H912" s="401"/>
      <c r="I912" s="436"/>
      <c r="K912" s="35">
        <v>9</v>
      </c>
      <c r="L912" s="35"/>
      <c r="M912" s="500" t="str">
        <f>HYPERLINK("https://www.youtube.com/watch?v=XhVmgLXYvuQ","Watch - Computational Geometry - Intro")</f>
        <v>Watch - Computational Geometry - Intro</v>
      </c>
      <c r="N912" s="461"/>
      <c r="O912" s="262"/>
      <c r="P912" s="262"/>
    </row>
    <row r="913" spans="1:17" ht="13.2" x14ac:dyDescent="0.25">
      <c r="A913" s="461"/>
      <c r="B913" s="461"/>
      <c r="C913" s="29"/>
      <c r="D913" s="29"/>
      <c r="E913" s="29"/>
      <c r="F913" s="29"/>
      <c r="G913" s="445">
        <v>45</v>
      </c>
      <c r="H913" s="401"/>
      <c r="I913" s="436"/>
      <c r="K913" s="35">
        <v>10</v>
      </c>
      <c r="L913" s="35"/>
      <c r="M913" s="500" t="str">
        <f>HYPERLINK("https://www.youtube.com/watch?v=2CUN12WrNr4","Watch - Computational Geometry - Point and Vector")</f>
        <v>Watch - Computational Geometry - Point and Vector</v>
      </c>
      <c r="N913" s="461"/>
      <c r="O913" s="446"/>
      <c r="P913" s="434"/>
      <c r="Q913" s="26"/>
    </row>
    <row r="914" spans="1:17" ht="13.2" x14ac:dyDescent="0.25">
      <c r="A914" s="461"/>
      <c r="B914" s="461"/>
      <c r="C914" s="29"/>
      <c r="D914" s="29"/>
      <c r="E914" s="29"/>
      <c r="F914" s="29"/>
      <c r="G914" s="440">
        <v>6</v>
      </c>
      <c r="H914" s="401"/>
      <c r="I914" s="436"/>
      <c r="K914" s="35">
        <v>11</v>
      </c>
      <c r="L914" s="35"/>
      <c r="M914" s="499" t="str">
        <f>HYPERLINK("https://www.youtube.com/watch?v=2G7RzlxTNPo","Watch - Search Techniques - Binary Search")</f>
        <v>Watch - Search Techniques - Binary Search</v>
      </c>
      <c r="N914" s="461"/>
      <c r="O914" s="447"/>
      <c r="P914" s="92"/>
      <c r="Q914" s="26"/>
    </row>
    <row r="915" spans="1:17" ht="13.2" x14ac:dyDescent="0.25">
      <c r="A915" s="461"/>
      <c r="B915" s="461"/>
      <c r="C915" s="29"/>
      <c r="D915" s="29"/>
      <c r="E915" s="29"/>
      <c r="F915" s="29"/>
      <c r="G915" s="435"/>
      <c r="H915" s="401"/>
      <c r="I915" s="436"/>
      <c r="K915" s="35">
        <v>12</v>
      </c>
      <c r="L915" s="35"/>
      <c r="M915" s="490" t="str">
        <f>HYPERLINK("https://www.youtube.com/watch?v=x1rCxxKfFbM","Watch - Thinking - Problem Simplification ")</f>
        <v xml:space="preserve">Watch - Thinking - Problem Simplification </v>
      </c>
      <c r="N915" s="461"/>
      <c r="O915" s="447"/>
      <c r="P915" s="92"/>
      <c r="Q915" s="26"/>
    </row>
    <row r="916" spans="1:17" ht="13.2" x14ac:dyDescent="0.25">
      <c r="A916" s="461"/>
      <c r="B916" s="461"/>
      <c r="C916" s="29"/>
      <c r="D916" s="29"/>
      <c r="E916" s="29"/>
      <c r="F916" s="29"/>
      <c r="G916" s="438"/>
      <c r="H916" s="401"/>
      <c r="I916" s="436"/>
      <c r="K916" s="35">
        <v>13</v>
      </c>
      <c r="L916" s="35"/>
      <c r="M916" s="490" t="str">
        <f>HYPERLINK("https://www.youtube.com/watch?v=7z1498LTCgg","Watch - Thinking - Brainstorm - Rank - Approach ")</f>
        <v xml:space="preserve">Watch - Thinking - Brainstorm - Rank - Approach </v>
      </c>
      <c r="N916" s="461"/>
      <c r="O916" s="262"/>
      <c r="P916" s="262"/>
    </row>
    <row r="917" spans="1:17" ht="13.2" x14ac:dyDescent="0.25">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x14ac:dyDescent="0.25">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x14ac:dyDescent="0.25">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x14ac:dyDescent="0.25">
      <c r="A920" s="461"/>
      <c r="B920" s="461"/>
      <c r="C920" s="29"/>
      <c r="D920" s="29"/>
      <c r="E920" s="29"/>
      <c r="F920" s="29"/>
      <c r="G920" s="438"/>
      <c r="H920" s="401"/>
      <c r="I920" s="436"/>
      <c r="K920" s="35">
        <v>17</v>
      </c>
      <c r="L920" s="35"/>
      <c r="M920" s="487" t="str">
        <f t="shared" ref="M920:M921" si="1">HYPERLINK("https://www.youtube.com/watch?v=tKGztXjnnuA","Watch - Training-Secrets of Success")</f>
        <v>Watch - Training-Secrets of Success</v>
      </c>
      <c r="N920" s="461"/>
      <c r="O920" s="165"/>
      <c r="P920" s="165"/>
    </row>
    <row r="921" spans="1:17" ht="15" x14ac:dyDescent="0.35">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x14ac:dyDescent="0.25">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x14ac:dyDescent="0.25">
      <c r="A923" s="29"/>
      <c r="B923" s="29"/>
      <c r="C923" s="29"/>
      <c r="D923" s="29"/>
      <c r="E923" s="29"/>
      <c r="F923" s="29"/>
      <c r="G923" s="435"/>
      <c r="H923" s="401"/>
      <c r="I923" s="436"/>
      <c r="K923" s="35">
        <v>20</v>
      </c>
      <c r="L923" s="35"/>
      <c r="M923" s="492" t="str">
        <f>HYPERLINK("https://www.youtube.com/watch?v=hqOqr6vFPp8","Watch - Prefix Sum")</f>
        <v>Watch - Prefix Sum</v>
      </c>
      <c r="N923" s="461"/>
      <c r="O923" s="165"/>
      <c r="P923" s="450"/>
      <c r="Q923" s="26"/>
    </row>
    <row r="924" spans="1:17" ht="13.2" x14ac:dyDescent="0.25">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x14ac:dyDescent="0.25">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x14ac:dyDescent="0.25">
      <c r="A926" s="83"/>
      <c r="B926" s="83"/>
      <c r="C926" s="29"/>
      <c r="D926" s="29"/>
      <c r="E926" s="29"/>
      <c r="F926" s="29"/>
      <c r="G926" s="445">
        <v>10</v>
      </c>
      <c r="H926" s="401"/>
      <c r="I926" s="436"/>
      <c r="K926" s="35">
        <v>23</v>
      </c>
      <c r="L926" s="35"/>
      <c r="M926" s="487" t="str">
        <f>HYPERLINK("https://www.youtube.com/watch?v=gFdP6X4CyKU","Watch - DP - intro 1")</f>
        <v>Watch - DP - intro 1</v>
      </c>
      <c r="N926" s="461"/>
      <c r="O926" s="165"/>
      <c r="P926" s="165"/>
    </row>
    <row r="927" spans="1:17" ht="13.2" x14ac:dyDescent="0.25">
      <c r="A927" s="83"/>
      <c r="B927" s="83"/>
      <c r="C927" s="29"/>
      <c r="D927" s="29"/>
      <c r="E927" s="29"/>
      <c r="F927" s="29"/>
      <c r="G927" s="445">
        <v>10</v>
      </c>
      <c r="H927" s="401"/>
      <c r="I927" s="436"/>
      <c r="K927" s="35">
        <v>24</v>
      </c>
      <c r="L927" s="35"/>
      <c r="M927" s="487" t="str">
        <f>HYPERLINK("https://www.youtube.com/watch?v=1j3srLj-C5Q","Watch - DP - intro 2")</f>
        <v>Watch - DP - intro 2</v>
      </c>
      <c r="N927" s="461"/>
      <c r="O927" s="165"/>
      <c r="P927" s="165"/>
    </row>
    <row r="928" spans="1:17" ht="13.2" x14ac:dyDescent="0.25">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x14ac:dyDescent="0.25">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x14ac:dyDescent="0.25">
      <c r="A930" s="83"/>
      <c r="B930" s="83"/>
      <c r="C930" s="29"/>
      <c r="D930" s="29"/>
      <c r="E930" s="29"/>
      <c r="F930" s="29"/>
      <c r="G930" s="438"/>
      <c r="H930" s="401"/>
      <c r="I930" s="436"/>
      <c r="K930" s="35">
        <v>27</v>
      </c>
      <c r="L930" s="35"/>
      <c r="M930" s="488" t="str">
        <f>HYPERLINK("https://www.youtube.com/watch?v=WTr12dK2Se0","Watch - Focused and Diffused Thinking")</f>
        <v>Watch - Focused and Diffused Thinking</v>
      </c>
      <c r="N930" s="461"/>
      <c r="O930" s="165"/>
      <c r="P930" s="67"/>
    </row>
    <row r="931" spans="1:16" ht="13.2" x14ac:dyDescent="0.25">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x14ac:dyDescent="0.25">
      <c r="A932" s="83"/>
      <c r="B932" s="83"/>
      <c r="C932" s="29"/>
      <c r="D932" s="29"/>
      <c r="E932" s="29"/>
      <c r="F932" s="29"/>
      <c r="G932" s="445">
        <v>84</v>
      </c>
      <c r="H932" s="401"/>
      <c r="I932" s="436"/>
      <c r="K932" s="35">
        <v>29</v>
      </c>
      <c r="L932" s="35"/>
      <c r="M932" s="489" t="str">
        <f>HYPERLINK("https://www.youtube.com/watch?v=iXxP_liQklk","Watch - Intro to Greedy")</f>
        <v>Watch - Intro to Greedy</v>
      </c>
      <c r="N932" s="461"/>
      <c r="O932" s="165"/>
      <c r="P932" s="165"/>
    </row>
    <row r="933" spans="1:16" ht="13.2" x14ac:dyDescent="0.25">
      <c r="A933" s="83"/>
      <c r="B933" s="83"/>
      <c r="C933" s="29"/>
      <c r="D933" s="29"/>
      <c r="E933" s="29"/>
      <c r="F933" s="29"/>
      <c r="G933" s="438"/>
      <c r="H933" s="401"/>
      <c r="I933" s="436"/>
      <c r="K933" s="35">
        <v>30</v>
      </c>
      <c r="L933" s="35"/>
      <c r="M933" s="490" t="str">
        <f>HYPERLINK("https://www.youtube.com/watch?v=Tm_Vlkv4mOo","Watch - Thinking - Concretely - Symbolically - Pictorially ")</f>
        <v xml:space="preserve">Watch - Thinking - Concretely - Symbolically - Pictorially </v>
      </c>
      <c r="N933" s="461"/>
      <c r="O933" s="165"/>
      <c r="P933" s="67"/>
    </row>
    <row r="934" spans="1:16" ht="13.2" x14ac:dyDescent="0.25">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x14ac:dyDescent="0.25">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x14ac:dyDescent="0.25">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x14ac:dyDescent="0.25">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x14ac:dyDescent="0.25">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x14ac:dyDescent="0.25">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x14ac:dyDescent="0.25">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x14ac:dyDescent="0.25">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x14ac:dyDescent="0.25">
      <c r="A942" s="83"/>
      <c r="B942" s="83"/>
      <c r="C942" s="29"/>
      <c r="D942" s="29"/>
      <c r="E942" s="29"/>
      <c r="F942" s="29"/>
      <c r="G942" s="445">
        <v>3</v>
      </c>
      <c r="H942" s="401"/>
      <c r="I942" s="436"/>
      <c r="K942" s="35">
        <v>39</v>
      </c>
      <c r="L942" s="35"/>
      <c r="M942" s="490" t="str">
        <f>HYPERLINK("https://www.youtube.com/watch?v=hLXVhRzqq18","Watch - Search Techniques - Backtracking")</f>
        <v>Watch - Search Techniques - Backtracking</v>
      </c>
      <c r="N942" s="461"/>
      <c r="O942" s="165"/>
      <c r="P942" s="167"/>
    </row>
    <row r="943" spans="1:16" ht="15" x14ac:dyDescent="0.35">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x14ac:dyDescent="0.25">
      <c r="A944" s="83"/>
      <c r="B944" s="83"/>
      <c r="C944" s="29"/>
      <c r="D944" s="29"/>
      <c r="E944" s="29"/>
      <c r="F944" s="29"/>
      <c r="G944" s="452">
        <v>10</v>
      </c>
      <c r="H944" s="401"/>
      <c r="I944" s="436"/>
      <c r="K944" s="35">
        <v>41</v>
      </c>
      <c r="L944" s="35"/>
      <c r="M944" s="490" t="str">
        <f>HYPERLINK("https://www.youtube.com/watch?v=vAqaki1BhS0","Watch - DP - Subset Style")</f>
        <v>Watch - DP - Subset Style</v>
      </c>
      <c r="N944" s="461"/>
      <c r="O944" s="165"/>
      <c r="P944" s="443"/>
    </row>
    <row r="945" spans="1:17" ht="13.2" x14ac:dyDescent="0.25">
      <c r="A945" s="83"/>
      <c r="B945" s="83"/>
      <c r="C945" s="29"/>
      <c r="D945" s="29"/>
      <c r="E945" s="29"/>
      <c r="F945" s="29"/>
      <c r="G945" s="445">
        <v>32</v>
      </c>
      <c r="H945" s="401"/>
      <c r="I945" s="436"/>
      <c r="K945" s="35">
        <v>42</v>
      </c>
      <c r="L945" s="35"/>
      <c r="M945" s="490" t="str">
        <f>HYPERLINK("https://www.youtube.com/watch?v=bDlAqeWsKsg","Watch - DP - Consecutive Ranges Style")</f>
        <v>Watch - DP - Consecutive Ranges Style</v>
      </c>
      <c r="N945" s="461"/>
      <c r="O945" s="165"/>
      <c r="P945" s="165"/>
    </row>
    <row r="946" spans="1:17" ht="13.2" x14ac:dyDescent="0.25">
      <c r="A946" s="83"/>
      <c r="B946" s="83"/>
      <c r="C946" s="29"/>
      <c r="D946" s="29"/>
      <c r="E946" s="29"/>
      <c r="F946" s="29"/>
      <c r="G946" s="445">
        <v>32</v>
      </c>
      <c r="H946" s="401"/>
      <c r="I946" s="436"/>
      <c r="K946" s="35">
        <v>43</v>
      </c>
      <c r="L946" s="35"/>
      <c r="M946" s="490" t="str">
        <f>HYPERLINK("https://www.youtube.com/watch?v=b4AC2jGNGEM","Watch - DP - Nested Ranges Style")</f>
        <v>Watch - DP - Nested Ranges Style</v>
      </c>
      <c r="N946" s="461"/>
      <c r="O946" s="165"/>
      <c r="P946" s="442"/>
    </row>
    <row r="947" spans="1:17" ht="15" x14ac:dyDescent="0.35">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x14ac:dyDescent="0.25">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x14ac:dyDescent="0.25">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x14ac:dyDescent="0.25">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x14ac:dyDescent="0.25">
      <c r="A951" s="83"/>
      <c r="B951" s="83"/>
      <c r="C951" s="29"/>
      <c r="D951" s="29"/>
      <c r="E951" s="29"/>
      <c r="F951" s="29"/>
      <c r="G951" s="440">
        <v>113</v>
      </c>
      <c r="H951" s="401"/>
      <c r="I951" s="436"/>
      <c r="K951" s="35">
        <v>48</v>
      </c>
      <c r="L951" s="35"/>
      <c r="M951" s="491" t="str">
        <f>HYPERLINK("https://www.youtube.com/playlist?list=PLC58778F28211FA19","Watch - Probability - First 9 videos")</f>
        <v>Watch - Probability - First 9 videos</v>
      </c>
      <c r="N951" s="461"/>
      <c r="O951" s="165"/>
      <c r="P951" s="441"/>
    </row>
    <row r="952" spans="1:17" ht="13.2" x14ac:dyDescent="0.25">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x14ac:dyDescent="0.25">
      <c r="A953" s="83"/>
      <c r="B953" s="83"/>
      <c r="C953" s="29"/>
      <c r="D953" s="29"/>
      <c r="E953" s="29"/>
      <c r="F953" s="29"/>
      <c r="G953" s="438"/>
      <c r="H953" s="401"/>
      <c r="I953" s="436"/>
      <c r="K953" s="35">
        <v>50</v>
      </c>
      <c r="L953" s="35"/>
      <c r="M953" s="490" t="str">
        <f>HYPERLINK("https://www.youtube.com/watch?v=TP8QXP6PBqM","Watch - Thinking - Observations Discovery ")</f>
        <v xml:space="preserve">Watch - Thinking - Observations Discovery </v>
      </c>
      <c r="N953" s="461"/>
      <c r="O953" s="165"/>
      <c r="P953" s="442"/>
      <c r="Q953" s="442"/>
    </row>
    <row r="954" spans="1:17" ht="13.2" x14ac:dyDescent="0.25">
      <c r="A954" s="83"/>
      <c r="B954" s="83"/>
      <c r="C954" s="29"/>
      <c r="D954" s="29"/>
      <c r="E954" s="29"/>
      <c r="F954" s="29"/>
      <c r="G954" s="445">
        <v>41</v>
      </c>
      <c r="H954" s="401"/>
      <c r="I954" s="436"/>
      <c r="K954" s="35">
        <v>51</v>
      </c>
      <c r="L954" s="35"/>
      <c r="M954" s="490" t="str">
        <f>HYPERLINK("https://www.youtube.com/watch?v=rdUs4FGkgRo","Watch - Game Theory - Intro")</f>
        <v>Watch - Game Theory - Intro</v>
      </c>
      <c r="N954" s="461"/>
      <c r="O954" s="165"/>
      <c r="P954" s="453"/>
      <c r="Q954" s="453"/>
    </row>
    <row r="955" spans="1:17" ht="13.2" x14ac:dyDescent="0.25">
      <c r="A955" s="83"/>
      <c r="B955" s="83"/>
      <c r="C955" s="29"/>
      <c r="D955" s="29"/>
      <c r="E955" s="29"/>
      <c r="F955" s="29"/>
      <c r="G955" s="438"/>
      <c r="H955" s="401"/>
      <c r="I955" s="436"/>
      <c r="K955" s="35">
        <v>52</v>
      </c>
      <c r="L955" s="35"/>
      <c r="M955" s="490" t="str">
        <f>HYPERLINK("https://www.youtube.com/watch?v=fT4JZU5hO58","Watch - Thinking - Misc - Solution Verification - Implementation")</f>
        <v>Watch - Thinking - Misc - Solution Verification - Implementation</v>
      </c>
      <c r="N955" s="461"/>
      <c r="O955" s="165"/>
      <c r="P955" s="161"/>
      <c r="Q955" s="161"/>
    </row>
    <row r="956" spans="1:17" ht="13.2" x14ac:dyDescent="0.25">
      <c r="A956" s="83"/>
      <c r="B956" s="83"/>
      <c r="C956" s="29"/>
      <c r="D956" s="29"/>
      <c r="E956" s="29"/>
      <c r="F956" s="29"/>
      <c r="G956" s="454">
        <v>64</v>
      </c>
      <c r="H956" s="401"/>
      <c r="I956" s="436"/>
      <c r="K956" s="35">
        <v>53</v>
      </c>
      <c r="L956" s="35"/>
      <c r="M956" s="487" t="str">
        <f>HYPERLINK("https://www.youtube.com/watch?v=6GzxGabB5MI","Watch - Graph Theory - Dijkstra")</f>
        <v>Watch - Graph Theory - Dijkstra</v>
      </c>
      <c r="N956" s="461"/>
      <c r="O956" s="165"/>
      <c r="P956" s="66"/>
      <c r="Q956" s="66"/>
    </row>
    <row r="957" spans="1:17" ht="13.2" x14ac:dyDescent="0.25">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x14ac:dyDescent="0.25">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x14ac:dyDescent="0.25">
      <c r="A959" s="83"/>
      <c r="B959" s="83"/>
      <c r="C959" s="29"/>
      <c r="D959" s="29"/>
      <c r="E959" s="29"/>
      <c r="F959" s="29"/>
      <c r="G959" s="438"/>
      <c r="H959" s="401"/>
      <c r="I959" s="436"/>
      <c r="K959" s="35">
        <v>56</v>
      </c>
      <c r="L959" s="35"/>
      <c r="M959" s="490" t="str">
        <f>HYPERLINK("https://www.youtube.com/watch?v=uKSLJw0ZUd8","Watch - Thinking - Error Inspection - History - Contest Strategy ")</f>
        <v xml:space="preserve">Watch - Thinking - Error Inspection - History - Contest Strategy </v>
      </c>
      <c r="N959" s="461"/>
      <c r="O959" s="165"/>
      <c r="P959" s="165"/>
    </row>
    <row r="960" spans="1:17" ht="13.2" x14ac:dyDescent="0.25">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x14ac:dyDescent="0.25">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x14ac:dyDescent="0.25">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x14ac:dyDescent="0.25">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x14ac:dyDescent="0.25">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x14ac:dyDescent="0.25">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x14ac:dyDescent="0.25">
      <c r="A966" s="83"/>
      <c r="B966" s="83"/>
      <c r="C966" s="29"/>
      <c r="D966" s="29"/>
      <c r="E966" s="29"/>
      <c r="F966" s="29"/>
      <c r="G966" s="445">
        <v>62</v>
      </c>
      <c r="H966" s="401"/>
      <c r="I966" s="436"/>
      <c r="K966" s="35">
        <v>63</v>
      </c>
      <c r="L966" s="35"/>
      <c r="M966" s="492" t="str">
        <f>HYPERLINK("https://www.youtube.com/watch?v=RASvnfG2SSE","Watch - Graph Theory - Tree Diameter and Isomorphism")</f>
        <v>Watch - Graph Theory - Tree Diameter and Isomorphism</v>
      </c>
      <c r="N966" s="461"/>
      <c r="O966" s="165"/>
      <c r="P966" s="161"/>
      <c r="Q966" s="161"/>
    </row>
    <row r="967" spans="1:17" ht="13.2" x14ac:dyDescent="0.25">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x14ac:dyDescent="0.25">
      <c r="A968" s="83"/>
      <c r="B968" s="83"/>
      <c r="C968" s="29"/>
      <c r="D968" s="29"/>
      <c r="E968" s="29"/>
      <c r="F968" s="29"/>
      <c r="G968" s="445" t="s">
        <v>1779</v>
      </c>
      <c r="H968" s="401"/>
      <c r="I968" s="436"/>
      <c r="K968" s="35">
        <v>65</v>
      </c>
      <c r="L968" s="35"/>
      <c r="M968" s="493" t="str">
        <f>HYPERLINK("https://www.youtube.com/watch?v=OLu5oskGGqw&amp;list=PLPt2dINI2MIZX2EtY81WI-lDkvhKziLKM&amp;index=11","Watch - Data Structures - Segment Tree (2 vid)")</f>
        <v>Watch - Data Structures - Segment Tree (2 vid)</v>
      </c>
      <c r="N968" s="461"/>
      <c r="O968" s="165"/>
      <c r="P968" s="67"/>
      <c r="Q968" s="67"/>
    </row>
    <row r="969" spans="1:17" ht="15" x14ac:dyDescent="0.35">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x14ac:dyDescent="0.25">
      <c r="A970" s="83"/>
      <c r="B970" s="83"/>
      <c r="C970" s="29"/>
      <c r="D970" s="29"/>
      <c r="E970" s="29"/>
      <c r="F970" s="29"/>
      <c r="G970" s="445">
        <v>138</v>
      </c>
      <c r="H970" s="401"/>
      <c r="I970" s="436"/>
      <c r="K970" s="35">
        <v>67</v>
      </c>
      <c r="L970" s="35"/>
      <c r="M970" s="494" t="str">
        <f>HYPERLINK("https://www.youtube.com/watch?v=n-Xwrr8RFQ0","Watch - Two pointers technique")</f>
        <v>Watch - Two pointers technique</v>
      </c>
      <c r="N970" s="461"/>
      <c r="O970" s="165"/>
      <c r="P970" s="165"/>
      <c r="Q970" s="165"/>
    </row>
    <row r="971" spans="1:17" ht="13.2" x14ac:dyDescent="0.25">
      <c r="A971" s="83"/>
      <c r="B971" s="83"/>
      <c r="C971" s="29"/>
      <c r="D971" s="29"/>
      <c r="E971" s="29"/>
      <c r="F971" s="29"/>
      <c r="G971" s="445">
        <v>29</v>
      </c>
      <c r="H971" s="401"/>
      <c r="I971" s="436"/>
      <c r="K971" s="35">
        <v>68</v>
      </c>
      <c r="L971" s="35"/>
      <c r="M971" s="495" t="str">
        <f>HYPERLINK("https://www.youtube.com/watch?v=nv6Z6n02Oi0","Watch - DP - Probability")</f>
        <v>Watch - DP - Probability</v>
      </c>
      <c r="N971" s="461"/>
      <c r="O971" s="165"/>
      <c r="P971" s="165"/>
      <c r="Q971" s="165"/>
    </row>
    <row r="972" spans="1:17" ht="13.2" x14ac:dyDescent="0.25">
      <c r="A972" s="83"/>
      <c r="B972" s="83"/>
      <c r="C972" s="29"/>
      <c r="D972" s="29"/>
      <c r="E972" s="29"/>
      <c r="F972" s="29"/>
      <c r="G972" s="445">
        <v>11</v>
      </c>
      <c r="H972" s="401"/>
      <c r="I972" s="436"/>
      <c r="K972" s="35">
        <v>69</v>
      </c>
      <c r="L972" s="35"/>
      <c r="M972" s="495" t="str">
        <f>HYPERLINK("https://www.youtube.com/watch?v=8aATaY9sdeE&amp;index=10&amp;list=PLPt2dINI2MIattDutu7IOAMlUuLeN8k2p&amp;t=3s","Watch - DP - Masks (2 vid)")</f>
        <v>Watch - DP - Masks (2 vid)</v>
      </c>
      <c r="N972" s="461"/>
      <c r="O972" s="165"/>
      <c r="P972" s="165"/>
      <c r="Q972" s="165"/>
    </row>
    <row r="973" spans="1:17" ht="13.2" x14ac:dyDescent="0.25">
      <c r="A973" s="83"/>
      <c r="B973" s="83"/>
      <c r="C973" s="29"/>
      <c r="D973" s="29"/>
      <c r="E973" s="29"/>
      <c r="F973" s="29"/>
      <c r="G973" s="445">
        <v>135</v>
      </c>
      <c r="H973" s="401"/>
      <c r="I973" s="436"/>
      <c r="K973" s="35">
        <v>70</v>
      </c>
      <c r="L973" s="35"/>
      <c r="M973" s="495" t="str">
        <f>HYPERLINK("https://www.youtube.com/watch?v=IGaJWl0jPY4","Watch - String Processing - Trie")</f>
        <v>Watch - String Processing - Trie</v>
      </c>
      <c r="N973" s="461"/>
      <c r="O973" s="165"/>
      <c r="P973" s="161"/>
      <c r="Q973" s="161"/>
    </row>
    <row r="974" spans="1:17" ht="13.2" x14ac:dyDescent="0.25">
      <c r="A974" s="83"/>
      <c r="B974" s="83"/>
      <c r="C974" s="29"/>
      <c r="D974" s="29"/>
      <c r="E974" s="29"/>
      <c r="F974" s="29"/>
      <c r="G974" s="445">
        <v>36</v>
      </c>
      <c r="H974" s="401"/>
      <c r="I974" s="436"/>
      <c r="K974" s="35">
        <v>71</v>
      </c>
      <c r="L974" s="35"/>
      <c r="M974" s="492" t="str">
        <f>HYPERLINK("https://www.youtube.com/watch?v=t-52tQ3vEgo","Watch - DP - Sub-rectangle style")</f>
        <v>Watch - DP - Sub-rectangle style</v>
      </c>
      <c r="N974" s="461"/>
      <c r="O974" s="165"/>
      <c r="P974" s="165"/>
      <c r="Q974" s="165"/>
    </row>
    <row r="975" spans="1:17" ht="13.2" x14ac:dyDescent="0.25">
      <c r="A975" s="83"/>
      <c r="B975" s="83"/>
      <c r="C975" s="29"/>
      <c r="D975" s="29"/>
      <c r="E975" s="29"/>
      <c r="F975" s="29"/>
      <c r="G975" s="445">
        <v>130</v>
      </c>
      <c r="H975" s="401"/>
      <c r="I975" s="436"/>
      <c r="K975" s="35">
        <v>72</v>
      </c>
      <c r="L975" s="35"/>
      <c r="M975" s="493" t="str">
        <f>HYPERLINK("https://www.youtube.com/watch?v=vjxLlFTKhrU&amp;index=2&amp;list=PLPt2dINI2MIYrtHBahPW16S-Wz9wx24Nc","Watch - String Processing - KMP (2 vid)")</f>
        <v>Watch - String Processing - KMP (2 vid)</v>
      </c>
      <c r="N975" s="461"/>
      <c r="O975" s="165"/>
      <c r="P975" s="167"/>
      <c r="Q975" s="167"/>
    </row>
    <row r="976" spans="1:17" ht="13.2" x14ac:dyDescent="0.25">
      <c r="A976" s="83"/>
      <c r="B976" s="83"/>
      <c r="C976" s="29"/>
      <c r="D976" s="29"/>
      <c r="E976" s="29"/>
      <c r="F976" s="29"/>
      <c r="G976" s="440">
        <v>23</v>
      </c>
      <c r="H976" s="401"/>
      <c r="I976" s="436"/>
      <c r="K976" s="35">
        <v>73</v>
      </c>
      <c r="L976" s="35"/>
      <c r="M976" s="493" t="str">
        <f>HYPERLINK("https://www.youtube.com/watch?v=X-cMRvuTGuM&amp;list=PLPt2dINI2MIattDutu7IOAMlUuLeN8k2p&amp;index=19","Watch - DP - Games (2 vid)")</f>
        <v>Watch - DP - Games (2 vid)</v>
      </c>
      <c r="N976" s="461"/>
      <c r="O976" s="165"/>
      <c r="P976" s="455"/>
      <c r="Q976" s="455"/>
    </row>
    <row r="977" spans="1:17" ht="13.2" x14ac:dyDescent="0.25">
      <c r="A977" s="29"/>
      <c r="B977" s="29"/>
      <c r="C977" s="29"/>
      <c r="D977" s="29"/>
      <c r="E977" s="29"/>
      <c r="F977" s="29"/>
      <c r="G977" s="440">
        <v>49</v>
      </c>
      <c r="H977" s="401"/>
      <c r="I977" s="436"/>
      <c r="K977" s="35">
        <v>74</v>
      </c>
      <c r="L977" s="35"/>
      <c r="M977" s="496" t="str">
        <f>HYPERLINK("https://www.youtube.com/watch?v=OnysyxVPPD0","Watch - Computational Geometry - Simple and Convex Polygons")</f>
        <v>Watch - Computational Geometry - Simple and Convex Polygons</v>
      </c>
      <c r="N977" s="461"/>
      <c r="O977" s="165"/>
      <c r="P977" s="434"/>
      <c r="Q977" s="29"/>
    </row>
    <row r="978" spans="1:17" ht="13.2" x14ac:dyDescent="0.25">
      <c r="A978" s="83"/>
      <c r="B978" s="83"/>
      <c r="C978" s="29"/>
      <c r="D978" s="29"/>
      <c r="E978" s="29"/>
      <c r="F978" s="29"/>
      <c r="G978" s="445">
        <v>49</v>
      </c>
      <c r="H978" s="401"/>
      <c r="I978" s="436"/>
      <c r="K978" s="35">
        <v>75</v>
      </c>
      <c r="L978" s="35"/>
      <c r="M978" s="497" t="str">
        <f>HYPERLINK("http://w.youtube.com/watch?v=Cce_O7EKv2Y","Watch - Computational Geometry - Polygon Area - Centroid - Cut")</f>
        <v>Watch - Computational Geometry - Polygon Area - Centroid - Cut</v>
      </c>
      <c r="N978" s="461"/>
      <c r="O978" s="165"/>
      <c r="P978" s="165"/>
    </row>
    <row r="979" spans="1:17" ht="13.2" x14ac:dyDescent="0.25">
      <c r="A979" s="83"/>
      <c r="B979" s="83"/>
      <c r="C979" s="29"/>
      <c r="D979" s="29"/>
      <c r="E979" s="29"/>
      <c r="F979" s="29"/>
      <c r="G979" s="445">
        <v>49</v>
      </c>
      <c r="H979" s="401"/>
      <c r="I979" s="436"/>
      <c r="K979" s="35">
        <v>76</v>
      </c>
      <c r="L979" s="35"/>
      <c r="M979" s="498" t="str">
        <f>HYPERLINK("https://www.youtube.com/watch?v=I5A6OYH1yuM","Watch - Computational Geometry - Point in polygon")</f>
        <v>Watch - Computational Geometry - Point in polygon</v>
      </c>
      <c r="N979" s="461"/>
      <c r="O979" s="165"/>
      <c r="P979" s="165"/>
    </row>
    <row r="980" spans="1:17" ht="13.2" x14ac:dyDescent="0.25">
      <c r="A980" s="83"/>
      <c r="B980" s="83"/>
      <c r="C980" s="29"/>
      <c r="D980" s="29"/>
      <c r="E980" s="29"/>
      <c r="F980" s="29"/>
      <c r="G980" s="445" t="s">
        <v>1780</v>
      </c>
      <c r="H980" s="401"/>
      <c r="I980" s="436"/>
      <c r="K980" s="35">
        <v>77</v>
      </c>
      <c r="L980" s="35"/>
      <c r="M980" s="493" t="str">
        <f>HYPERLINK("https://www.youtube.com/watch?v=QuOiEwefssM&amp;t=2s&amp;list=PLPt2dINI2MIb4OXlJ_EEwIDV9WVUpRQ5K&amp;index=16","Watch - Graph Theory - Maximum Flow (2 vid)")</f>
        <v>Watch - Graph Theory - Maximum Flow (2 vid)</v>
      </c>
      <c r="N980" s="461"/>
      <c r="O980" s="165"/>
      <c r="P980" s="165"/>
    </row>
    <row r="981" spans="1:17" ht="13.2" x14ac:dyDescent="0.25">
      <c r="A981" s="83"/>
      <c r="B981" s="83"/>
      <c r="C981" s="29"/>
      <c r="D981" s="29"/>
      <c r="E981" s="29"/>
      <c r="F981" s="29"/>
      <c r="G981" s="445">
        <v>77</v>
      </c>
      <c r="H981" s="401"/>
      <c r="I981" s="436"/>
      <c r="K981" s="35">
        <v>78</v>
      </c>
      <c r="L981" s="35"/>
      <c r="M981" s="493" t="str">
        <f>HYPERLINK("https://www.youtube.com/watch?v=xVMe4JSEQo0&amp;index=14&amp;list=PLPt2dINI2MIb4OXlJ_EEwIDV9WVUpRQ5K","Watch - Graph Theory - SCC (2 vid)")</f>
        <v>Watch - Graph Theory - SCC (2 vid)</v>
      </c>
      <c r="N981" s="461"/>
      <c r="O981" s="165"/>
      <c r="P981" s="165"/>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x14ac:dyDescent="0.25"/>
  <cols>
    <col min="1" max="1" width="19.5546875" customWidth="1"/>
    <col min="2" max="2" width="115.6640625" customWidth="1"/>
  </cols>
  <sheetData>
    <row r="1" spans="1:2" ht="15.75" customHeight="1" x14ac:dyDescent="0.4">
      <c r="B1" s="456" t="s">
        <v>1781</v>
      </c>
    </row>
    <row r="2" spans="1:2" ht="15.75" customHeight="1" x14ac:dyDescent="0.25">
      <c r="B2" s="457" t="str">
        <f>HYPERLINK("https://www.youtube.com/watch?v=tKGztXjnnuA","Training Secrets of Success Video")</f>
        <v>Training Secrets of Success Video</v>
      </c>
    </row>
    <row r="5" spans="1:2" ht="15.75" customHeight="1" x14ac:dyDescent="0.25">
      <c r="A5" s="36" t="s">
        <v>1782</v>
      </c>
    </row>
    <row r="6" spans="1:2" ht="15.75" customHeight="1" x14ac:dyDescent="0.25">
      <c r="B6" s="37" t="s">
        <v>1783</v>
      </c>
    </row>
    <row r="7" spans="1:2" ht="15.75" customHeight="1" x14ac:dyDescent="0.25">
      <c r="B7" s="37" t="s">
        <v>1784</v>
      </c>
    </row>
    <row r="9" spans="1:2" ht="15.75" customHeight="1" x14ac:dyDescent="0.25">
      <c r="A9" s="36" t="s">
        <v>1785</v>
      </c>
    </row>
    <row r="10" spans="1:2" ht="15.75" customHeight="1" x14ac:dyDescent="0.25">
      <c r="B10" s="37" t="s">
        <v>1786</v>
      </c>
    </row>
    <row r="11" spans="1:2" ht="15.75" customHeight="1" x14ac:dyDescent="0.25">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x14ac:dyDescent="0.25">
      <c r="B12" s="37" t="s">
        <v>1787</v>
      </c>
    </row>
    <row r="14" spans="1:2" ht="15.75" customHeight="1" x14ac:dyDescent="0.25">
      <c r="A14" s="36" t="s">
        <v>1788</v>
      </c>
    </row>
    <row r="15" spans="1:2" ht="15.75" customHeight="1" x14ac:dyDescent="0.25">
      <c r="B15" s="37" t="s">
        <v>1789</v>
      </c>
    </row>
    <row r="16" spans="1:2" ht="15.75" customHeight="1" x14ac:dyDescent="0.25">
      <c r="B16" s="37" t="s">
        <v>1790</v>
      </c>
    </row>
    <row r="17" spans="1:2" ht="13.2" x14ac:dyDescent="0.25">
      <c r="B17" s="37" t="s">
        <v>1791</v>
      </c>
    </row>
    <row r="18" spans="1:2" ht="13.2" x14ac:dyDescent="0.25">
      <c r="B18" s="37" t="s">
        <v>1792</v>
      </c>
    </row>
    <row r="20" spans="1:2" ht="13.2" x14ac:dyDescent="0.25">
      <c r="A20" s="36" t="s">
        <v>1793</v>
      </c>
    </row>
    <row r="21" spans="1:2" ht="13.2" x14ac:dyDescent="0.25">
      <c r="B21" s="37" t="s">
        <v>1794</v>
      </c>
    </row>
    <row r="22" spans="1:2" ht="13.2" x14ac:dyDescent="0.25">
      <c r="B22" s="37" t="s">
        <v>1795</v>
      </c>
    </row>
    <row r="23" spans="1:2" ht="13.2" x14ac:dyDescent="0.25">
      <c r="B23" s="37" t="s">
        <v>1796</v>
      </c>
    </row>
    <row r="25" spans="1:2" ht="13.2" x14ac:dyDescent="0.25">
      <c r="A25" s="36" t="s">
        <v>1797</v>
      </c>
    </row>
    <row r="26" spans="1:2" ht="13.2" x14ac:dyDescent="0.25">
      <c r="B26" s="37" t="s">
        <v>1798</v>
      </c>
    </row>
    <row r="27" spans="1:2" ht="13.2" x14ac:dyDescent="0.25">
      <c r="B27" s="37" t="s">
        <v>1799</v>
      </c>
    </row>
    <row r="29" spans="1:2" ht="13.2" x14ac:dyDescent="0.25">
      <c r="A29" s="36" t="s">
        <v>1800</v>
      </c>
    </row>
    <row r="30" spans="1:2" ht="13.2" x14ac:dyDescent="0.25">
      <c r="B30" s="37" t="s">
        <v>1801</v>
      </c>
    </row>
    <row r="31" spans="1:2" ht="13.2" x14ac:dyDescent="0.25">
      <c r="B31" s="37" t="s">
        <v>1802</v>
      </c>
    </row>
    <row r="33" spans="1:2" ht="13.2" x14ac:dyDescent="0.25">
      <c r="A33" s="36" t="s">
        <v>1803</v>
      </c>
    </row>
    <row r="34" spans="1:2" ht="13.2" x14ac:dyDescent="0.25">
      <c r="B34" s="37" t="s">
        <v>1804</v>
      </c>
    </row>
    <row r="35" spans="1:2" ht="13.2" x14ac:dyDescent="0.25">
      <c r="B35" s="37" t="s">
        <v>1805</v>
      </c>
    </row>
    <row r="36" spans="1:2" ht="13.2" x14ac:dyDescent="0.25">
      <c r="B36" s="37" t="s">
        <v>1806</v>
      </c>
    </row>
    <row r="37" spans="1:2" ht="13.2" x14ac:dyDescent="0.25">
      <c r="B37" s="37" t="s">
        <v>1807</v>
      </c>
    </row>
    <row r="39" spans="1:2" ht="13.2" x14ac:dyDescent="0.25">
      <c r="A39" s="36" t="s">
        <v>1808</v>
      </c>
    </row>
    <row r="40" spans="1:2" ht="13.2" x14ac:dyDescent="0.25">
      <c r="B40" s="37" t="s">
        <v>1809</v>
      </c>
    </row>
    <row r="41" spans="1:2" ht="13.2" x14ac:dyDescent="0.25">
      <c r="B41" s="37" t="s">
        <v>1810</v>
      </c>
    </row>
    <row r="43" spans="1:2" ht="13.2" x14ac:dyDescent="0.25">
      <c r="A43" s="36" t="s">
        <v>1811</v>
      </c>
    </row>
    <row r="44" spans="1:2" ht="13.2" x14ac:dyDescent="0.25">
      <c r="B44" s="37" t="s">
        <v>1812</v>
      </c>
    </row>
    <row r="45" spans="1:2" ht="13.2" x14ac:dyDescent="0.25">
      <c r="B45" s="37" t="s">
        <v>1813</v>
      </c>
    </row>
    <row r="47" spans="1:2" ht="13.2" x14ac:dyDescent="0.25">
      <c r="A47" s="36" t="s">
        <v>1814</v>
      </c>
    </row>
    <row r="48" spans="1:2" ht="13.2" x14ac:dyDescent="0.25">
      <c r="B48" s="37" t="s">
        <v>1815</v>
      </c>
    </row>
    <row r="49" spans="1:2" ht="13.2" x14ac:dyDescent="0.25">
      <c r="B49" s="37" t="s">
        <v>1816</v>
      </c>
    </row>
    <row r="50" spans="1:2" ht="13.2" x14ac:dyDescent="0.25">
      <c r="B50" s="37" t="s">
        <v>1817</v>
      </c>
    </row>
    <row r="52" spans="1:2" ht="13.2" x14ac:dyDescent="0.25">
      <c r="A52" s="36" t="s">
        <v>1818</v>
      </c>
    </row>
    <row r="53" spans="1:2" ht="13.2" x14ac:dyDescent="0.25">
      <c r="B53" s="37" t="s">
        <v>1819</v>
      </c>
    </row>
    <row r="54" spans="1:2" ht="13.2" x14ac:dyDescent="0.25">
      <c r="B54" s="37" t="s">
        <v>1820</v>
      </c>
    </row>
    <row r="55" spans="1:2" ht="13.2" x14ac:dyDescent="0.25">
      <c r="B55" s="37" t="s">
        <v>1821</v>
      </c>
    </row>
    <row r="57" spans="1:2" ht="13.2" x14ac:dyDescent="0.25">
      <c r="A57" s="36" t="s">
        <v>1822</v>
      </c>
    </row>
    <row r="58" spans="1:2" ht="13.2" x14ac:dyDescent="0.25">
      <c r="B58" s="37" t="s">
        <v>1823</v>
      </c>
    </row>
    <row r="60" spans="1:2" ht="13.2" x14ac:dyDescent="0.25">
      <c r="A60" s="36" t="s">
        <v>1824</v>
      </c>
    </row>
    <row r="61" spans="1:2" ht="13.2" x14ac:dyDescent="0.25">
      <c r="B61" s="37" t="s">
        <v>1825</v>
      </c>
    </row>
    <row r="62" spans="1:2" ht="13.2" x14ac:dyDescent="0.25">
      <c r="B62" s="37" t="s">
        <v>1826</v>
      </c>
    </row>
    <row r="63" spans="1:2" ht="13.2" x14ac:dyDescent="0.25">
      <c r="B63" s="37" t="s">
        <v>1827</v>
      </c>
    </row>
    <row r="64" spans="1:2" ht="13.2" x14ac:dyDescent="0.25">
      <c r="B64" s="37" t="s">
        <v>1828</v>
      </c>
    </row>
    <row r="65" spans="2:2" ht="13.2" x14ac:dyDescent="0.25">
      <c r="B65" s="37" t="s">
        <v>1829</v>
      </c>
    </row>
    <row r="66" spans="2:2" ht="13.2" x14ac:dyDescent="0.25">
      <c r="B66" s="37" t="s">
        <v>1830</v>
      </c>
    </row>
    <row r="67" spans="2:2" ht="13.2" x14ac:dyDescent="0.25">
      <c r="B67" s="37" t="s">
        <v>1831</v>
      </c>
    </row>
    <row r="68" spans="2:2" ht="13.2" x14ac:dyDescent="0.25">
      <c r="B68" s="37" t="s">
        <v>1832</v>
      </c>
    </row>
    <row r="69" spans="2:2" ht="13.2" x14ac:dyDescent="0.25">
      <c r="B69" s="37" t="s">
        <v>1833</v>
      </c>
    </row>
    <row r="70" spans="2:2" ht="13.2" x14ac:dyDescent="0.25">
      <c r="B70" s="37" t="s">
        <v>1834</v>
      </c>
    </row>
    <row r="71" spans="2:2" ht="13.2" x14ac:dyDescent="0.25">
      <c r="B71" s="37"/>
    </row>
    <row r="72" spans="2:2" ht="13.2" x14ac:dyDescent="0.25">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2020-09-24T08:35:49Z</dcterms:modified>
</cp:coreProperties>
</file>